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b08be2660c4a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nçamento" sheetId="1" r:id="R5c0ff6a4f2b14346"/>
    <x:sheet xmlns:r="http://schemas.openxmlformats.org/officeDocument/2006/relationships" name="Auditoria" sheetId="2" r:id="R4086421a6c214ef2"/>
    <x:sheet xmlns:r="http://schemas.openxmlformats.org/officeDocument/2006/relationships" name="Regras" sheetId="3" r:id="Ree5a6df708c24b6c"/>
    <x:sheet xmlns:r="http://schemas.openxmlformats.org/officeDocument/2006/relationships" name="Proveniência" sheetId="4" r:id="R202d66679c9544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212B"/>
      <x:name val="Carlito"/>
    </x:font>
    <x:font>
      <x:b/>
      <x:sz val="11"/>
      <x:color rgb="FFFFFFFF"/>
      <x:name val="Carlito"/>
    </x:font>
    <x:font>
      <x:sz val="10"/>
      <x:color rgb="FF17212B"/>
      <x:name val="Carlito"/>
    </x:font>
    <x:font>
      <x:b/>
      <x:sz val="10"/>
      <x:color rgb="FF17324D"/>
      <x:name val="Carlito"/>
    </x:font>
    <x:font>
      <x:b/>
      <x:sz val="9"/>
      <x:color rgb="FF5B6773"/>
      <x:name val="Carlito"/>
    </x:font>
    <x:font>
      <x:b/>
      <x:sz val="16"/>
      <x:color rgb="FF17324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F3EF"/>
      </x:patternFill>
    </x:fill>
    <x:fill>
      <x:patternFill patternType="solid">
        <x:fgColor rgb="FF0F766E"/>
      </x:patternFill>
    </x:fill>
    <x:fill>
      <x:patternFill patternType="solid">
        <x:fgColor rgb="FFF5F8FA"/>
      </x:patternFill>
    </x:fill>
    <x:fill>
      <x:patternFill patternType="solid">
        <x:fgColor rgb="FFFFFFFF"/>
      </x:patternFill>
    </x:fill>
    <x:fill>
      <x:patternFill patternType="solid">
        <x:fgColor rgb="FFFFF3D6"/>
      </x:patternFill>
    </x:fill>
  </x:fills>
  <x:borders count="8">
    <x:border/>
    <x:border>
      <x:left style="medium">
        <x:color rgb="FF0F766E"/>
      </x:left>
      <x:top style="medium">
        <x:color rgb="FF0F766E"/>
      </x:top>
      <x:bottom style="medium">
        <x:color rgb="FF0F766E"/>
      </x:bottom>
    </x:border>
    <x:border>
      <x:top style="medium">
        <x:color rgb="FF0F766E"/>
      </x:top>
      <x:bottom style="medium">
        <x:color rgb="FF0F766E"/>
      </x:bottom>
    </x:border>
    <x:border>
      <x:right style="medium">
        <x:color rgb="FF0F766E"/>
      </x:right>
      <x:top style="medium">
        <x:color rgb="FF0F766E"/>
      </x:top>
      <x:bottom style="medium">
        <x:color rgb="FF0F766E"/>
      </x:bottom>
    </x:border>
    <x:border>
      <x:bottom style="thin">
        <x:color rgb="FFD8E0E8"/>
      </x:bottom>
    </x:border>
    <x:border>
      <x:top style="thin">
        <x:color rgb="FFD8E0E8"/>
      </x:top>
      <x:bottom style="thin">
        <x:color rgb="FFD8E0E8"/>
      </x:bottom>
    </x:border>
    <x:border>
      <x:left style="thin">
        <x:color rgb="FFD8E0E8"/>
      </x:left>
      <x:top style="thin">
        <x:color rgb="FFD8E0E8"/>
      </x:top>
      <x:bottom style="thin">
        <x:color rgb="FFD8E0E8"/>
      </x:bottom>
    </x:border>
    <x:border>
      <x:right style="thin">
        <x:color rgb="FFD8E0E8"/>
      </x:right>
      <x:top style="thin">
        <x:color rgb="FFD8E0E8"/>
      </x:top>
      <x:bottom style="thin">
        <x:color rgb="FFD8E0E8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vertical="top"/>
    </x:xf>
    <x:xf numFmtId="0" fontId="4" fillId="0" borderId="5" xfId="0" applyNumberFormat="1" applyFont="1" applyFill="1" applyBorder="1" applyAlignment="1">
      <x:alignment vertical="top"/>
    </x:xf>
    <x:xf numFmtId="0" fontId="5" fillId="0" borderId="4" xfId="0" applyNumberFormat="1" applyFont="1" applyFill="1" applyBorder="1" applyAlignment="1">
      <x:alignment vertical="top"/>
    </x:xf>
    <x:xf numFmtId="0" fontId="5" fillId="0" borderId="5" xfId="0" applyNumberFormat="1" applyFont="1" applyFill="1" applyBorder="1" applyAlignment="1">
      <x:alignment vertical="top"/>
    </x:xf>
    <x:xf numFmtId="200" fontId="4" fillId="0" borderId="4" xfId="0" applyNumberFormat="1" applyFont="1" applyFill="1" applyBorder="1" applyAlignment="1">
      <x:alignment vertical="top"/>
    </x:xf>
    <x:xf numFmtId="200" fontId="4" fillId="0" borderId="5" xfId="0" applyNumberFormat="1" applyFont="1" applyFill="1" applyBorder="1" applyAlignment="1">
      <x:alignment vertical="top"/>
    </x:xf>
    <x:xf numFmtId="201" fontId="4" fillId="0" borderId="4" xfId="0" applyNumberFormat="1" applyFont="1" applyFill="1" applyBorder="1" applyAlignment="1">
      <x:alignment vertical="top"/>
    </x:xf>
    <x:xf numFmtId="201" fontId="4" fillId="0" borderId="5" xfId="0" applyNumberFormat="1" applyFont="1" applyFill="1" applyBorder="1" applyAlignment="1">
      <x:alignment vertical="top"/>
    </x:xf>
    <x:xf numFmtId="201" fontId="4" fillId="0" borderId="4" xfId="0" applyNumberFormat="1" applyFont="1" applyFill="1" applyBorder="1" applyAlignment="1">
      <x:alignment horizontal="right" vertical="top"/>
    </x:xf>
    <x:xf numFmtId="0" fontId="4" fillId="0" borderId="4" xfId="0" applyNumberFormat="1" applyFont="1" applyFill="1" applyBorder="1" applyAlignment="1">
      <x:alignment horizontal="right" vertical="top"/>
    </x:xf>
    <x:xf numFmtId="201" fontId="4" fillId="0" borderId="5" xfId="0" applyNumberFormat="1" applyFont="1" applyFill="1" applyBorder="1" applyAlignment="1">
      <x:alignment horizontal="right" vertical="top"/>
    </x:xf>
    <x:xf numFmtId="0" fontId="4" fillId="0" borderId="5" xfId="0" applyNumberFormat="1" applyFont="1" applyFill="1" applyBorder="1" applyAlignment="1">
      <x:alignment horizontal="right" vertical="top"/>
    </x:xf>
    <x:xf numFmtId="0" fontId="4" fillId="0" borderId="4" xfId="0" applyNumberFormat="1" applyFont="1" applyFill="1" applyBorder="1" applyAlignment="1">
      <x:alignment horizontal="center" vertical="top"/>
    </x:xf>
    <x:xf numFmtId="0" fontId="4" fillId="0" borderId="5" xfId="0" applyNumberFormat="1" applyFont="1" applyFill="1" applyBorder="1" applyAlignment="1">
      <x:alignment horizontal="center" vertical="top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6" xfId="0" applyNumberFormat="1" applyFont="1" applyFill="1" applyBorder="1" applyAlignment="1">
      <x:alignment horizontal="center"/>
    </x:xf>
    <x:xf numFmtId="0" fontId="6" fillId="5" borderId="7" xfId="0" applyNumberFormat="1" applyFont="1" applyFill="1" applyBorder="1" applyAlignment="1">
      <x:alignment horizontal="center"/>
    </x:xf>
    <x:xf numFmtId="0" fontId="6" fillId="5" borderId="6" xfId="0" applyNumberFormat="1" applyFont="1" applyFill="1" applyBorder="1" applyAlignment="1">
      <x:alignment horizontal="center" vertical="center"/>
    </x:xf>
    <x:xf numFmtId="0" fontId="6" fillId="5" borderId="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6" xfId="0" applyNumberFormat="1" applyFont="1" applyFill="1" applyBorder="1" applyAlignment="1">
      <x:alignment horizontal="center"/>
    </x:xf>
    <x:xf numFmtId="0" fontId="7" fillId="6" borderId="7" xfId="0" applyNumberFormat="1" applyFont="1" applyFill="1" applyBorder="1" applyAlignment="1">
      <x:alignment horizontal="center"/>
    </x:xf>
    <x:xf numFmtId="0" fontId="7" fillId="6" borderId="6" xfId="0" applyNumberFormat="1" applyFont="1" applyFill="1" applyBorder="1" applyAlignment="1">
      <x:alignment horizontal="center" vertical="center"/>
    </x:xf>
    <x:xf numFmtId="0" fontId="7" fillId="6" borderId="7" xfId="0" applyNumberFormat="1" applyFont="1" applyFill="1" applyBorder="1" applyAlignment="1">
      <x:alignment horizontal="center" vertical="center"/>
    </x:xf>
    <x:xf numFmtId="201" fontId="7" fillId="6" borderId="6" xfId="0" applyNumberFormat="1" applyFont="1" applyFill="1" applyBorder="1" applyAlignment="1">
      <x:alignment horizontal="center" vertical="center"/>
    </x:xf>
    <x:xf numFmtId="201" fontId="7" fillId="6" borderId="7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7" borderId="4" xfId="0" applyNumberFormat="1" applyFont="1" applyFill="1" applyBorder="1" applyAlignment="1">
      <x:alignment horizontal="center" vertical="top" wrapText="1"/>
    </x:xf>
    <x:xf numFmtId="0" fontId="4" fillId="7" borderId="4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132af218f14b77" /><Relationship Type="http://schemas.openxmlformats.org/officeDocument/2006/relationships/theme" Target="/xl/theme/theme1.xml" Id="R782fb1bdad8d434f" /><Relationship Type="http://schemas.openxmlformats.org/officeDocument/2006/relationships/sharedStrings" Target="/xl/sharedStrings.xml" Id="R46ecb2495aec4891" /><Relationship Type="http://schemas.openxmlformats.org/officeDocument/2006/relationships/worksheet" Target="/xl/worksheets/sheet1.xml" Id="R5c0ff6a4f2b14346" /><Relationship Type="http://schemas.openxmlformats.org/officeDocument/2006/relationships/worksheet" Target="/xl/worksheets/sheet2.xml" Id="R4086421a6c214ef2" /><Relationship Type="http://schemas.openxmlformats.org/officeDocument/2006/relationships/worksheet" Target="/xl/worksheets/sheet3.xml" Id="Ree5a6df708c24b6c" /><Relationship Type="http://schemas.openxmlformats.org/officeDocument/2006/relationships/worksheet" Target="/xl/worksheets/sheet4.xml" Id="R202d66679c954488" /></Relationships>
</file>

<file path=xl/tables/table1.xml><?xml version="1.0" encoding="utf-8"?>
<x:table xmlns:x="http://schemas.openxmlformats.org/spreadsheetml/2006/main" id="2" name="LancamentoNotasFrequencias" displayName="LancamentoNotasFrequencias" ref="A7:F81" headerRowCount="1" totalsRowCount="0" totalsRowShown="0">
  <x:autoFilter ref="A7:F81"/>
  <x:tableColumns count="6">
    <x:tableColumn id="1" name="Nome"/>
    <x:tableColumn id="2" name="NUSP"/>
    <x:tableColumn id="3" name="Nota final"/>
    <x:tableColumn id="4" name="Frequência (%)"/>
    <x:tableColumn id="5" name="Resultado"/>
    <x:tableColumn id="6" name="Regra de ajuste da not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AuditoriaNotasFrequencias" displayName="AuditoriaNotasFrequencias" ref="A7:S81" headerRowCount="1" totalsRowCount="0" totalsRowShown="0">
  <x:autoFilter ref="A7:S81"/>
  <x:tableColumns count="19">
    <x:tableColumn id="1" name="Nome"/>
    <x:tableColumn id="2" name="NUSP"/>
    <x:tableColumn id="3" name="E-mail"/>
    <x:tableColumn id="4" name="Fonte do trabalho"/>
    <x:tableColumn id="5" name="Lista 1"/>
    <x:tableColumn id="6" name="Lista 2"/>
    <x:tableColumn id="7" name="Nota do trabalho adotada"/>
    <x:tableColumn id="8" name="Todas as listas?"/>
    <x:tableColumn id="9" name="Alguma lista?"/>
    <x:tableColumn id="10" name="Ajuste das listas"/>
    <x:tableColumn id="11" name="Nota final"/>
    <x:tableColumn id="12" name="Frequência base"/>
    <x:tableColumn id="13" name="Desconto por lista (p.p.)"/>
    <x:tableColumn id="14" name="Frequência final"/>
    <x:tableColumn id="15" name="Resultado"/>
    <x:tableColumn id="16" name="Avaliação do trabalho"/>
    <x:tableColumn id="17" name="Trabalho entregue?"/>
    <x:tableColumn id="18" name="Entregou tudo?"/>
    <x:tableColumn id="19" name="Penalidade de IA já incorporad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grasCalculo" displayName="RegrasCalculo" ref="A4:D13" headerRowCount="1" totalsRowCount="0" totalsRowShown="0">
  <x:tableColumns count="4">
    <x:tableColumn id="1" name="Etapa"/>
    <x:tableColumn id="2" name="Regra"/>
    <x:tableColumn id="3" name="Fórmula aplicada"/>
    <x:tableColumn id="4" name="Observaçã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venienciaControles" displayName="ProvenienciaControles" ref="A4:D15" headerRowCount="1" totalsRowCount="0" totalsRowShown="0">
  <x:tableColumns count="4">
    <x:tableColumn id="1" name="Item"/>
    <x:tableColumn id="2" name="Valor"/>
    <x:tableColumn id="3" name="Status"/>
    <x:tableColumn id="4" name="Nota de auditor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5e0aac46704d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17928004f6a4d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cd43ff5d9e44c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1b41c8f27bf40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3" hidden="0" customWidth="1"/>
    <x:col min="4" max="4" width="15" hidden="0" customWidth="1"/>
    <x:col min="5" max="5" width="14" hidden="0" customWidth="1"/>
    <x:col min="6" max="6" width="34" hidden="0" customWidth="1"/>
  </x:cols>
  <x:sheetData>
    <x:row r="1" ht="34" customHeight="1">
      <x:c r="A1" s="3" t="str">
        <x:v>Métodos III — notas e frequências finais (2026)</x:v>
      </x:c>
      <x:c r="B1" s="3" t="str">
        <x:v>Métodos III — notas e frequências finais (2026)</x:v>
      </x:c>
      <x:c r="C1" s="3" t="str">
        <x:v>Métodos III — notas e frequências finais (2026)</x:v>
      </x:c>
      <x:c r="D1" s="3" t="str">
        <x:v>Métodos III — notas e frequências finais (2026)</x:v>
      </x:c>
      <x:c r="E1" s="3" t="str">
        <x:v>Métodos III — notas e frequências finais (2026)</x:v>
      </x:c>
      <x:c r="F1" s="3" t="str">
        <x:v>Métodos III — notas e frequências finais (2026)</x:v>
      </x:c>
    </x:row>
    <x:row r="2" ht="34" customHeight="1">
      <x:c r="A2" s="7" t="str">
        <x:v>Tabela compacta para conferência e lançamento. A memória de cálculo completa está na aba Auditoria.</x:v>
      </x:c>
      <x:c r="B2" s="7" t="str">
        <x:v>Tabela compacta para conferência e lançamento. A memória de cálculo completa está na aba Auditoria.</x:v>
      </x:c>
      <x:c r="C2" s="7" t="str">
        <x:v>Tabela compacta para conferência e lançamento. A memória de cálculo completa está na aba Auditoria.</x:v>
      </x:c>
      <x:c r="D2" s="7" t="str">
        <x:v>Tabela compacta para conferência e lançamento. A memória de cálculo completa está na aba Auditoria.</x:v>
      </x:c>
      <x:c r="E2" s="7" t="str">
        <x:v>Tabela compacta para conferência e lançamento. A memória de cálculo completa está na aba Auditoria.</x:v>
      </x:c>
      <x:c r="F2" s="7" t="str">
        <x:v>Tabela compacta para conferência e lançamento. A memória de cálculo completa está na aba Auditoria.</x:v>
      </x:c>
    </x:row>
    <x:row r="4">
      <x:c r="A4" s="47" t="str">
        <x:v>Estudantes</x:v>
      </x:c>
      <x:c r="B4" s="48" t="str">
        <x:v>Estudantes</x:v>
      </x:c>
      <x:c r="C4" s="47" t="str">
        <x:v>Aprovados</x:v>
      </x:c>
      <x:c r="D4" s="48" t="str">
        <x:v>Aprovados</x:v>
      </x:c>
      <x:c r="E4" s="47" t="str">
        <x:v>Menor frequência aprovada</x:v>
      </x:c>
      <x:c r="F4" s="48" t="str">
        <x:v>Menor frequência aprovada</x:v>
      </x:c>
    </x:row>
    <x:row r="5">
      <x:c r="A5" s="55" t="n">
        <x:f>COUNTA(A8:A81)</x:f>
        <x:v>74</x:v>
      </x:c>
      <x:c r="B5" s="56"/>
      <x:c r="C5" s="55" t="n">
        <x:f>COUNTIF(E8:E81,"Aprovado")</x:f>
        <x:v>57</x:v>
      </x:c>
      <x:c r="D5" s="56"/>
      <x:c r="E5" s="57" t="n">
        <x:f>MINIFS(D8:D81,E8:E81,"Aprovado")</x:f>
        <x:v>77.7</x:v>
      </x:c>
      <x:c r="F5" s="58"/>
    </x:row>
    <x:row r="7" ht="32" customHeight="1">
      <x:c r="A7" s="19" t="str">
        <x:v>Nome</x:v>
      </x:c>
      <x:c r="B7" s="20" t="str">
        <x:v>NUSP</x:v>
      </x:c>
      <x:c r="C7" s="20" t="str">
        <x:v>Nota final</x:v>
      </x:c>
      <x:c r="D7" s="20" t="str">
        <x:v>Frequência (%)</x:v>
      </x:c>
      <x:c r="E7" s="20" t="str">
        <x:v>Resultado</x:v>
      </x:c>
      <x:c r="F7" s="21" t="str">
        <x:v>Regra de ajuste da nota</x:v>
      </x:c>
    </x:row>
    <x:row r="8" ht="29" customHeight="1">
      <x:c r="A8" s="27" t="str">
        <x:f>'Auditoria'!A8</x:f>
        <x:v>Agnes Francisca Carraro Kunsch</x:v>
      </x:c>
      <x:c r="B8" s="29" t="str">
        <x:f>'Auditoria'!B8</x:f>
        <x:v>14554690</x:v>
      </x:c>
      <x:c r="C8" s="33" t="n">
        <x:f>'Auditoria'!K8</x:f>
        <x:v>9.5</x:v>
      </x:c>
      <x:c r="D8" s="33" t="n">
        <x:f>'Auditoria'!N8</x:f>
        <x:v>89.8</x:v>
      </x:c>
      <x:c r="E8" s="37" t="str">
        <x:f>'Auditoria'!O8</x:f>
        <x:v>Aprovado</x:v>
      </x:c>
      <x:c r="F8" s="39" t="str">
        <x:f>IF('Auditoria'!R8="Sim","+0,5: trabalho e todas as listas","−0,5: entrega incompleta")</x:f>
        <x:v>+0,5: trabalho e todas as listas</x:v>
      </x:c>
    </x:row>
    <x:row r="9" ht="29" customHeight="1">
      <x:c r="A9" s="28" t="str">
        <x:f>'Auditoria'!A9</x:f>
        <x:v>Andre Beraldo Calia</x:v>
      </x:c>
      <x:c r="B9" s="30" t="str">
        <x:f>'Auditoria'!B9</x:f>
        <x:v>15439907</x:v>
      </x:c>
      <x:c r="C9" s="35" t="n">
        <x:f>'Auditoria'!K9</x:f>
        <x:v>9.5</x:v>
      </x:c>
      <x:c r="D9" s="35" t="n">
        <x:f>'Auditoria'!N9</x:f>
        <x:v>89.8</x:v>
      </x:c>
      <x:c r="E9" s="38" t="str">
        <x:f>'Auditoria'!O9</x:f>
        <x:v>Aprovado</x:v>
      </x:c>
      <x:c r="F9" s="40" t="str">
        <x:f>IF('Auditoria'!R9="Sim","+0,5: trabalho e todas as listas","−0,5: entrega incompleta")</x:f>
        <x:v>+0,5: trabalho e todas as listas</x:v>
      </x:c>
    </x:row>
    <x:row r="10" ht="29" customHeight="1">
      <x:c r="A10" s="28" t="str">
        <x:f>'Auditoria'!A10</x:f>
        <x:v>Andre Praça Susemihl</x:v>
      </x:c>
      <x:c r="B10" s="30" t="str">
        <x:f>'Auditoria'!B10</x:f>
        <x:v>15510702</x:v>
      </x:c>
      <x:c r="C10" s="35" t="n">
        <x:f>'Auditoria'!K10</x:f>
        <x:v>7.7</x:v>
      </x:c>
      <x:c r="D10" s="35" t="n">
        <x:f>'Auditoria'!N10</x:f>
        <x:v>88.9</x:v>
      </x:c>
      <x:c r="E10" s="38" t="str">
        <x:f>'Auditoria'!O10</x:f>
        <x:v>Aprovado</x:v>
      </x:c>
      <x:c r="F10" s="40" t="str">
        <x:f>IF('Auditoria'!R10="Sim","+0,5: trabalho e todas as listas","−0,5: entrega incompleta")</x:f>
        <x:v>+0,5: trabalho e todas as listas</x:v>
      </x:c>
    </x:row>
    <x:row r="11" ht="29" customHeight="1">
      <x:c r="A11" s="28" t="str">
        <x:f>'Auditoria'!A11</x:f>
        <x:v>Andre Raposo Santos</x:v>
      </x:c>
      <x:c r="B11" s="30" t="str">
        <x:f>'Auditoria'!B11</x:f>
        <x:v>15652600</x:v>
      </x:c>
      <x:c r="C11" s="35" t="n">
        <x:f>'Auditoria'!K11</x:f>
        <x:v>0</x:v>
      </x:c>
      <x:c r="D11" s="35" t="n">
        <x:f>'Auditoria'!N11</x:f>
        <x:v>0</x:v>
      </x:c>
      <x:c r="E11" s="38" t="str">
        <x:f>'Auditoria'!O11</x:f>
        <x:v>Reprovado</x:v>
      </x:c>
      <x:c r="F11" s="40" t="str">
        <x:f>IF('Auditoria'!R11="Sim","+0,5: trabalho e todas as listas","−0,5: entrega incompleta")</x:f>
        <x:v>−0,5: entrega incompleta</x:v>
      </x:c>
    </x:row>
    <x:row r="12" ht="29" customHeight="1">
      <x:c r="A12" s="28" t="str">
        <x:f>'Auditoria'!A12</x:f>
        <x:v>Anne Louise Dias Ferreira</x:v>
      </x:c>
      <x:c r="B12" s="30" t="str">
        <x:f>'Auditoria'!B12</x:f>
        <x:v>14558926</x:v>
      </x:c>
      <x:c r="C12" s="35" t="n">
        <x:f>'Auditoria'!K12</x:f>
        <x:v>9.7</x:v>
      </x:c>
      <x:c r="D12" s="35" t="n">
        <x:f>'Auditoria'!N12</x:f>
        <x:v>89.9</x:v>
      </x:c>
      <x:c r="E12" s="38" t="str">
        <x:f>'Auditoria'!O12</x:f>
        <x:v>Aprovado</x:v>
      </x:c>
      <x:c r="F12" s="40" t="str">
        <x:f>IF('Auditoria'!R12="Sim","+0,5: trabalho e todas as listas","−0,5: entrega incompleta")</x:f>
        <x:v>+0,5: trabalho e todas as listas</x:v>
      </x:c>
    </x:row>
    <x:row r="13" ht="29" customHeight="1">
      <x:c r="A13" s="28" t="str">
        <x:f>'Auditoria'!A13</x:f>
        <x:v>Beatriz Pessoni</x:v>
      </x:c>
      <x:c r="B13" s="30" t="str">
        <x:f>'Auditoria'!B13</x:f>
        <x:v>15442662</x:v>
      </x:c>
      <x:c r="C13" s="35" t="n">
        <x:f>'Auditoria'!K13</x:f>
        <x:v>7.3</x:v>
      </x:c>
      <x:c r="D13" s="35" t="n">
        <x:f>'Auditoria'!N13</x:f>
        <x:v>88.7</x:v>
      </x:c>
      <x:c r="E13" s="38" t="str">
        <x:f>'Auditoria'!O13</x:f>
        <x:v>Aprovado</x:v>
      </x:c>
      <x:c r="F13" s="40" t="str">
        <x:f>IF('Auditoria'!R13="Sim","+0,5: trabalho e todas as listas","−0,5: entrega incompleta")</x:f>
        <x:v>+0,5: trabalho e todas as listas</x:v>
      </x:c>
    </x:row>
    <x:row r="14" ht="29" customHeight="1">
      <x:c r="A14" s="28" t="str">
        <x:f>'Auditoria'!A14</x:f>
        <x:v>Beatriz Ribeiro Galli Ferreira</x:v>
      </x:c>
      <x:c r="B14" s="30" t="str">
        <x:f>'Auditoria'!B14</x:f>
        <x:v>11760430</x:v>
      </x:c>
      <x:c r="C14" s="35" t="n">
        <x:f>'Auditoria'!K14</x:f>
        <x:v>8.3</x:v>
      </x:c>
      <x:c r="D14" s="35" t="n">
        <x:f>'Auditoria'!N14</x:f>
        <x:v>89.2</x:v>
      </x:c>
      <x:c r="E14" s="38" t="str">
        <x:f>'Auditoria'!O14</x:f>
        <x:v>Aprovado</x:v>
      </x:c>
      <x:c r="F14" s="40" t="str">
        <x:f>IF('Auditoria'!R14="Sim","+0,5: trabalho e todas as listas","−0,5: entrega incompleta")</x:f>
        <x:v>+0,5: trabalho e todas as listas</x:v>
      </x:c>
    </x:row>
    <x:row r="15" ht="29" customHeight="1">
      <x:c r="A15" s="28" t="str">
        <x:f>'Auditoria'!A15</x:f>
        <x:v>Bruno da Silva</x:v>
      </x:c>
      <x:c r="B15" s="30" t="str">
        <x:f>'Auditoria'!B15</x:f>
        <x:v>9875681</x:v>
      </x:c>
      <x:c r="C15" s="35" t="n">
        <x:f>'Auditoria'!K15</x:f>
        <x:v>0</x:v>
      </x:c>
      <x:c r="D15" s="35" t="n">
        <x:f>'Auditoria'!N15</x:f>
        <x:v>0</x:v>
      </x:c>
      <x:c r="E15" s="38" t="str">
        <x:f>'Auditoria'!O15</x:f>
        <x:v>Reprovado</x:v>
      </x:c>
      <x:c r="F15" s="40" t="str">
        <x:f>IF('Auditoria'!R15="Sim","+0,5: trabalho e todas as listas","−0,5: entrega incompleta")</x:f>
        <x:v>−0,5: entrega incompleta</x:v>
      </x:c>
    </x:row>
    <x:row r="16" ht="29" customHeight="1">
      <x:c r="A16" s="28" t="str">
        <x:f>'Auditoria'!A16</x:f>
        <x:v>Caio Felicio Razera</x:v>
      </x:c>
      <x:c r="B16" s="30" t="str">
        <x:f>'Auditoria'!B16</x:f>
        <x:v>14562914</x:v>
      </x:c>
      <x:c r="C16" s="35" t="n">
        <x:f>'Auditoria'!K16</x:f>
        <x:v>9</x:v>
      </x:c>
      <x:c r="D16" s="35" t="n">
        <x:f>'Auditoria'!N16</x:f>
        <x:v>89.5</x:v>
      </x:c>
      <x:c r="E16" s="38" t="str">
        <x:f>'Auditoria'!O16</x:f>
        <x:v>Aprovado</x:v>
      </x:c>
      <x:c r="F16" s="40" t="str">
        <x:f>IF('Auditoria'!R16="Sim","+0,5: trabalho e todas as listas","−0,5: entrega incompleta")</x:f>
        <x:v>+0,5: trabalho e todas as listas</x:v>
      </x:c>
    </x:row>
    <x:row r="17" ht="29" customHeight="1">
      <x:c r="A17" s="28" t="str">
        <x:f>'Auditoria'!A17</x:f>
        <x:v>Carlos Alberto Vergara</x:v>
      </x:c>
      <x:c r="B17" s="30" t="str">
        <x:f>'Auditoria'!B17</x:f>
        <x:v>3464981</x:v>
      </x:c>
      <x:c r="C17" s="35" t="n">
        <x:f>'Auditoria'!K17</x:f>
        <x:v>6.8</x:v>
      </x:c>
      <x:c r="D17" s="35" t="n">
        <x:f>'Auditoria'!N17</x:f>
        <x:v>88.4</x:v>
      </x:c>
      <x:c r="E17" s="38" t="str">
        <x:f>'Auditoria'!O17</x:f>
        <x:v>Aprovado</x:v>
      </x:c>
      <x:c r="F17" s="40" t="str">
        <x:f>IF('Auditoria'!R17="Sim","+0,5: trabalho e todas as listas","−0,5: entrega incompleta")</x:f>
        <x:v>+0,5: trabalho e todas as listas</x:v>
      </x:c>
    </x:row>
    <x:row r="18" ht="29" customHeight="1">
      <x:c r="A18" s="28" t="str">
        <x:f>'Auditoria'!A18</x:f>
        <x:v>Carmen Maria Serrano dos Santos</x:v>
      </x:c>
      <x:c r="B18" s="30" t="str">
        <x:f>'Auditoria'!B18</x:f>
        <x:v>15445370</x:v>
      </x:c>
      <x:c r="C18" s="35" t="n">
        <x:f>'Auditoria'!K18</x:f>
        <x:v>10</x:v>
      </x:c>
      <x:c r="D18" s="35" t="n">
        <x:f>'Auditoria'!N18</x:f>
        <x:v>90</x:v>
      </x:c>
      <x:c r="E18" s="38" t="str">
        <x:f>'Auditoria'!O18</x:f>
        <x:v>Aprovado</x:v>
      </x:c>
      <x:c r="F18" s="40" t="str">
        <x:f>IF('Auditoria'!R18="Sim","+0,5: trabalho e todas as listas","−0,5: entrega incompleta")</x:f>
        <x:v>+0,5: trabalho e todas as listas</x:v>
      </x:c>
    </x:row>
    <x:row r="19" ht="29" customHeight="1">
      <x:c r="A19" s="28" t="str">
        <x:f>'Auditoria'!A19</x:f>
        <x:v>Caua Vigiani Cavaliere</x:v>
      </x:c>
      <x:c r="B19" s="30" t="str">
        <x:f>'Auditoria'!B19</x:f>
        <x:v>15573943</x:v>
      </x:c>
      <x:c r="C19" s="35" t="n">
        <x:f>'Auditoria'!K19</x:f>
        <x:v>0</x:v>
      </x:c>
      <x:c r="D19" s="35" t="n">
        <x:f>'Auditoria'!N19</x:f>
        <x:v>50</x:v>
      </x:c>
      <x:c r="E19" s="38" t="str">
        <x:f>'Auditoria'!O19</x:f>
        <x:v>Reprovado</x:v>
      </x:c>
      <x:c r="F19" s="40" t="str">
        <x:f>IF('Auditoria'!R19="Sim","+0,5: trabalho e todas as listas","−0,5: entrega incompleta")</x:f>
        <x:v>−0,5: entrega incompleta</x:v>
      </x:c>
    </x:row>
    <x:row r="20" ht="29" customHeight="1">
      <x:c r="A20" s="28" t="str">
        <x:f>'Auditoria'!A20</x:f>
        <x:v>Dayane Nogueira dos Santos</x:v>
      </x:c>
      <x:c r="B20" s="30" t="str">
        <x:f>'Auditoria'!B20</x:f>
        <x:v>15514004</x:v>
      </x:c>
      <x:c r="C20" s="35" t="n">
        <x:f>'Auditoria'!K20</x:f>
        <x:v>8.2</x:v>
      </x:c>
      <x:c r="D20" s="35" t="n">
        <x:f>'Auditoria'!N20</x:f>
        <x:v>79.1</x:v>
      </x:c>
      <x:c r="E20" s="38" t="str">
        <x:f>'Auditoria'!O20</x:f>
        <x:v>Aprovado</x:v>
      </x:c>
      <x:c r="F20" s="40" t="str">
        <x:f>IF('Auditoria'!R20="Sim","+0,5: trabalho e todas as listas","−0,5: entrega incompleta")</x:f>
        <x:v>−0,5: entrega incompleta</x:v>
      </x:c>
    </x:row>
    <x:row r="21" ht="29" customHeight="1">
      <x:c r="A21" s="28" t="str">
        <x:f>'Auditoria'!A21</x:f>
        <x:v>Dong Zishuo</x:v>
      </x:c>
      <x:c r="B21" s="30" t="str">
        <x:f>'Auditoria'!B21</x:f>
        <x:v>17117294</x:v>
      </x:c>
      <x:c r="C21" s="35" t="n">
        <x:f>'Auditoria'!K21</x:f>
        <x:v>0</x:v>
      </x:c>
      <x:c r="D21" s="35" t="n">
        <x:f>'Auditoria'!N21</x:f>
        <x:v>0</x:v>
      </x:c>
      <x:c r="E21" s="38" t="str">
        <x:f>'Auditoria'!O21</x:f>
        <x:v>Reprovado</x:v>
      </x:c>
      <x:c r="F21" s="40" t="str">
        <x:f>IF('Auditoria'!R21="Sim","+0,5: trabalho e todas as listas","−0,5: entrega incompleta")</x:f>
        <x:v>−0,5: entrega incompleta</x:v>
      </x:c>
    </x:row>
    <x:row r="22" ht="29" customHeight="1">
      <x:c r="A22" s="28" t="str">
        <x:f>'Auditoria'!A22</x:f>
        <x:v>Emerson de Lima Gomes</x:v>
      </x:c>
      <x:c r="B22" s="30" t="str">
        <x:f>'Auditoria'!B22</x:f>
        <x:v>13713872</x:v>
      </x:c>
      <x:c r="C22" s="35" t="n">
        <x:f>'Auditoria'!K22</x:f>
        <x:v>9</x:v>
      </x:c>
      <x:c r="D22" s="35" t="n">
        <x:f>'Auditoria'!N22</x:f>
        <x:v>89.5</x:v>
      </x:c>
      <x:c r="E22" s="38" t="str">
        <x:f>'Auditoria'!O22</x:f>
        <x:v>Aprovado</x:v>
      </x:c>
      <x:c r="F22" s="40" t="str">
        <x:f>IF('Auditoria'!R22="Sim","+0,5: trabalho e todas as listas","−0,5: entrega incompleta")</x:f>
        <x:v>+0,5: trabalho e todas as listas</x:v>
      </x:c>
    </x:row>
    <x:row r="23" ht="29" customHeight="1">
      <x:c r="A23" s="28" t="str">
        <x:f>'Auditoria'!A23</x:f>
        <x:v>Emilio Amigo Gamo</x:v>
      </x:c>
      <x:c r="B23" s="30" t="str">
        <x:f>'Auditoria'!B23</x:f>
        <x:v>5549811</x:v>
      </x:c>
      <x:c r="C23" s="35" t="n">
        <x:f>'Auditoria'!K23</x:f>
        <x:v>9.6</x:v>
      </x:c>
      <x:c r="D23" s="35" t="n">
        <x:f>'Auditoria'!N23</x:f>
        <x:v>89.8</x:v>
      </x:c>
      <x:c r="E23" s="38" t="str">
        <x:f>'Auditoria'!O23</x:f>
        <x:v>Aprovado</x:v>
      </x:c>
      <x:c r="F23" s="40" t="str">
        <x:f>IF('Auditoria'!R23="Sim","+0,5: trabalho e todas as listas","−0,5: entrega incompleta")</x:f>
        <x:v>+0,5: trabalho e todas as listas</x:v>
      </x:c>
    </x:row>
    <x:row r="24" ht="29" customHeight="1">
      <x:c r="A24" s="28" t="str">
        <x:f>'Auditoria'!A24</x:f>
        <x:v>Enzo Rosa Chiavarini Altavista</x:v>
      </x:c>
      <x:c r="B24" s="30" t="str">
        <x:f>'Auditoria'!B24</x:f>
        <x:v>15450000</x:v>
      </x:c>
      <x:c r="C24" s="35" t="n">
        <x:f>'Auditoria'!K24</x:f>
        <x:v>0</x:v>
      </x:c>
      <x:c r="D24" s="35" t="n">
        <x:f>'Auditoria'!N24</x:f>
        <x:v>0</x:v>
      </x:c>
      <x:c r="E24" s="38" t="str">
        <x:f>'Auditoria'!O24</x:f>
        <x:v>Reprovado</x:v>
      </x:c>
      <x:c r="F24" s="40" t="str">
        <x:f>IF('Auditoria'!R24="Sim","+0,5: trabalho e todas as listas","−0,5: entrega incompleta")</x:f>
        <x:v>−0,5: entrega incompleta</x:v>
      </x:c>
    </x:row>
    <x:row r="25" ht="29" customHeight="1">
      <x:c r="A25" s="28" t="str">
        <x:f>'Auditoria'!A25</x:f>
        <x:v>Fellipe Matheus Bernardino Pereira</x:v>
      </x:c>
      <x:c r="B25" s="30" t="str">
        <x:f>'Auditoria'!B25</x:f>
        <x:v>11330361</x:v>
      </x:c>
      <x:c r="C25" s="35" t="n">
        <x:f>'Auditoria'!K25</x:f>
        <x:v>10</x:v>
      </x:c>
      <x:c r="D25" s="35" t="n">
        <x:f>'Auditoria'!N25</x:f>
        <x:v>90</x:v>
      </x:c>
      <x:c r="E25" s="38" t="str">
        <x:f>'Auditoria'!O25</x:f>
        <x:v>Aprovado</x:v>
      </x:c>
      <x:c r="F25" s="40" t="str">
        <x:f>IF('Auditoria'!R25="Sim","+0,5: trabalho e todas as listas","−0,5: entrega incompleta")</x:f>
        <x:v>+0,5: trabalho e todas as listas</x:v>
      </x:c>
    </x:row>
    <x:row r="26" ht="29" customHeight="1">
      <x:c r="A26" s="28" t="str">
        <x:f>'Auditoria'!A26</x:f>
        <x:v>Fernanda Cristina de Oliveira da Silva</x:v>
      </x:c>
      <x:c r="B26" s="30" t="str">
        <x:f>'Auditoria'!B26</x:f>
        <x:v>15451867</x:v>
      </x:c>
      <x:c r="C26" s="35" t="n">
        <x:f>'Auditoria'!K26</x:f>
        <x:v>6.4</x:v>
      </x:c>
      <x:c r="D26" s="35" t="n">
        <x:f>'Auditoria'!N26</x:f>
        <x:v>88.2</x:v>
      </x:c>
      <x:c r="E26" s="38" t="str">
        <x:f>'Auditoria'!O26</x:f>
        <x:v>Aprovado</x:v>
      </x:c>
      <x:c r="F26" s="40" t="str">
        <x:f>IF('Auditoria'!R26="Sim","+0,5: trabalho e todas as listas","−0,5: entrega incompleta")</x:f>
        <x:v>+0,5: trabalho e todas as listas</x:v>
      </x:c>
    </x:row>
    <x:row r="27" ht="29" customHeight="1">
      <x:c r="A27" s="28" t="str">
        <x:f>'Auditoria'!A27</x:f>
        <x:v>Filipe Kiyoshi Otuka</x:v>
      </x:c>
      <x:c r="B27" s="30" t="str">
        <x:f>'Auditoria'!B27</x:f>
        <x:v>14780870</x:v>
      </x:c>
      <x:c r="C27" s="35" t="n">
        <x:f>'Auditoria'!K27</x:f>
        <x:v>10</x:v>
      </x:c>
      <x:c r="D27" s="35" t="n">
        <x:f>'Auditoria'!N27</x:f>
        <x:v>90</x:v>
      </x:c>
      <x:c r="E27" s="38" t="str">
        <x:f>'Auditoria'!O27</x:f>
        <x:v>Aprovado</x:v>
      </x:c>
      <x:c r="F27" s="40" t="str">
        <x:f>IF('Auditoria'!R27="Sim","+0,5: trabalho e todas as listas","−0,5: entrega incompleta")</x:f>
        <x:v>+0,5: trabalho e todas as listas</x:v>
      </x:c>
    </x:row>
    <x:row r="28" ht="29" customHeight="1">
      <x:c r="A28" s="28" t="str">
        <x:f>'Auditoria'!A28</x:f>
        <x:v>Franciele de Brito Leite</x:v>
      </x:c>
      <x:c r="B28" s="30" t="str">
        <x:f>'Auditoria'!B28</x:f>
        <x:v>13825860</x:v>
      </x:c>
      <x:c r="C28" s="35" t="n">
        <x:f>'Auditoria'!K28</x:f>
        <x:v>9.9</x:v>
      </x:c>
      <x:c r="D28" s="35" t="n">
        <x:f>'Auditoria'!N28</x:f>
        <x:v>90</x:v>
      </x:c>
      <x:c r="E28" s="38" t="str">
        <x:f>'Auditoria'!O28</x:f>
        <x:v>Aprovado</x:v>
      </x:c>
      <x:c r="F28" s="40" t="str">
        <x:f>IF('Auditoria'!R28="Sim","+0,5: trabalho e todas as listas","−0,5: entrega incompleta")</x:f>
        <x:v>+0,5: trabalho e todas as listas</x:v>
      </x:c>
    </x:row>
    <x:row r="29" ht="29" customHeight="1">
      <x:c r="A29" s="28" t="str">
        <x:f>'Auditoria'!A29</x:f>
        <x:v>Francisco Zardo de Melo</x:v>
      </x:c>
      <x:c r="B29" s="30" t="str">
        <x:f>'Auditoria'!B29</x:f>
        <x:v>15452656</x:v>
      </x:c>
      <x:c r="C29" s="35" t="n">
        <x:f>'Auditoria'!K29</x:f>
        <x:v>7</x:v>
      </x:c>
      <x:c r="D29" s="35" t="n">
        <x:f>'Auditoria'!N29</x:f>
        <x:v>88.5</x:v>
      </x:c>
      <x:c r="E29" s="38" t="str">
        <x:f>'Auditoria'!O29</x:f>
        <x:v>Aprovado</x:v>
      </x:c>
      <x:c r="F29" s="40" t="str">
        <x:f>IF('Auditoria'!R29="Sim","+0,5: trabalho e todas as listas","−0,5: entrega incompleta")</x:f>
        <x:v>+0,5: trabalho e todas as listas</x:v>
      </x:c>
    </x:row>
    <x:row r="30" ht="29" customHeight="1">
      <x:c r="A30" s="28" t="str">
        <x:f>'Auditoria'!A30</x:f>
        <x:v>Gabriela Yumi Fraga Assano</x:v>
      </x:c>
      <x:c r="B30" s="30" t="str">
        <x:f>'Auditoria'!B30</x:f>
        <x:v>14573451</x:v>
      </x:c>
      <x:c r="C30" s="35" t="n">
        <x:f>'Auditoria'!K30</x:f>
        <x:v>8.8</x:v>
      </x:c>
      <x:c r="D30" s="35" t="n">
        <x:f>'Auditoria'!N30</x:f>
        <x:v>89.4</x:v>
      </x:c>
      <x:c r="E30" s="38" t="str">
        <x:f>'Auditoria'!O30</x:f>
        <x:v>Aprovado</x:v>
      </x:c>
      <x:c r="F30" s="40" t="str">
        <x:f>IF('Auditoria'!R30="Sim","+0,5: trabalho e todas as listas","−0,5: entrega incompleta")</x:f>
        <x:v>+0,5: trabalho e todas as listas</x:v>
      </x:c>
    </x:row>
    <x:row r="31" ht="29" customHeight="1">
      <x:c r="A31" s="28" t="str">
        <x:f>'Auditoria'!A31</x:f>
        <x:v>Giovanna Ellen Honório Braga</x:v>
      </x:c>
      <x:c r="B31" s="30" t="str">
        <x:f>'Auditoria'!B31</x:f>
        <x:v>14574661</x:v>
      </x:c>
      <x:c r="C31" s="35" t="n">
        <x:f>'Auditoria'!K31</x:f>
        <x:v>8.9</x:v>
      </x:c>
      <x:c r="D31" s="35" t="n">
        <x:f>'Auditoria'!N31</x:f>
        <x:v>89.5</x:v>
      </x:c>
      <x:c r="E31" s="38" t="str">
        <x:f>'Auditoria'!O31</x:f>
        <x:v>Aprovado</x:v>
      </x:c>
      <x:c r="F31" s="40" t="str">
        <x:f>IF('Auditoria'!R31="Sim","+0,5: trabalho e todas as listas","−0,5: entrega incompleta")</x:f>
        <x:v>+0,5: trabalho e todas as listas</x:v>
      </x:c>
    </x:row>
    <x:row r="32" ht="29" customHeight="1">
      <x:c r="A32" s="28" t="str">
        <x:f>'Auditoria'!A32</x:f>
        <x:v>Giovanna dos Santos Chistoni Silva</x:v>
      </x:c>
      <x:c r="B32" s="30" t="str">
        <x:f>'Auditoria'!B32</x:f>
        <x:v>13860449</x:v>
      </x:c>
      <x:c r="C32" s="35" t="n">
        <x:f>'Auditoria'!K32</x:f>
        <x:v>10</x:v>
      </x:c>
      <x:c r="D32" s="35" t="n">
        <x:f>'Auditoria'!N32</x:f>
        <x:v>90</x:v>
      </x:c>
      <x:c r="E32" s="38" t="str">
        <x:f>'Auditoria'!O32</x:f>
        <x:v>Aprovado</x:v>
      </x:c>
      <x:c r="F32" s="40" t="str">
        <x:f>IF('Auditoria'!R32="Sim","+0,5: trabalho e todas as listas","−0,5: entrega incompleta")</x:f>
        <x:v>+0,5: trabalho e todas as listas</x:v>
      </x:c>
    </x:row>
    <x:row r="33" ht="29" customHeight="1">
      <x:c r="A33" s="28" t="str">
        <x:f>'Auditoria'!A33</x:f>
        <x:v>Guilherme Francisco de Lauro</x:v>
      </x:c>
      <x:c r="B33" s="30" t="str">
        <x:f>'Auditoria'!B33</x:f>
        <x:v>15456813</x:v>
      </x:c>
      <x:c r="C33" s="35" t="n">
        <x:f>'Auditoria'!K33</x:f>
        <x:v>9.1</x:v>
      </x:c>
      <x:c r="D33" s="35" t="n">
        <x:f>'Auditoria'!N33</x:f>
        <x:v>89.6</x:v>
      </x:c>
      <x:c r="E33" s="38" t="str">
        <x:f>'Auditoria'!O33</x:f>
        <x:v>Aprovado</x:v>
      </x:c>
      <x:c r="F33" s="40" t="str">
        <x:f>IF('Auditoria'!R33="Sim","+0,5: trabalho e todas as listas","−0,5: entrega incompleta")</x:f>
        <x:v>+0,5: trabalho e todas as listas</x:v>
      </x:c>
    </x:row>
    <x:row r="34" ht="29" customHeight="1">
      <x:c r="A34" s="28" t="str">
        <x:f>'Auditoria'!A34</x:f>
        <x:v>Guilherme Pereira Ferreira</x:v>
      </x:c>
      <x:c r="B34" s="30" t="str">
        <x:f>'Auditoria'!B34</x:f>
        <x:v>8539774</x:v>
      </x:c>
      <x:c r="C34" s="35" t="n">
        <x:f>'Auditoria'!K34</x:f>
        <x:v>0</x:v>
      </x:c>
      <x:c r="D34" s="35" t="n">
        <x:f>'Auditoria'!N34</x:f>
        <x:v>50</x:v>
      </x:c>
      <x:c r="E34" s="38" t="str">
        <x:f>'Auditoria'!O34</x:f>
        <x:v>Reprovado</x:v>
      </x:c>
      <x:c r="F34" s="40" t="str">
        <x:f>IF('Auditoria'!R34="Sim","+0,5: trabalho e todas as listas","−0,5: entrega incompleta")</x:f>
        <x:v>−0,5: entrega incompleta</x:v>
      </x:c>
    </x:row>
    <x:row r="35" ht="29" customHeight="1">
      <x:c r="A35" s="28" t="str">
        <x:f>'Auditoria'!A35</x:f>
        <x:v>Guilherme Salamuni Gonzaga de Oliveira</x:v>
      </x:c>
      <x:c r="B35" s="30" t="str">
        <x:f>'Auditoria'!B35</x:f>
        <x:v>15585578</x:v>
      </x:c>
      <x:c r="C35" s="35" t="n">
        <x:f>'Auditoria'!K35</x:f>
        <x:v>9.8</x:v>
      </x:c>
      <x:c r="D35" s="35" t="n">
        <x:f>'Auditoria'!N35</x:f>
        <x:v>89.9</x:v>
      </x:c>
      <x:c r="E35" s="38" t="str">
        <x:f>'Auditoria'!O35</x:f>
        <x:v>Aprovado</x:v>
      </x:c>
      <x:c r="F35" s="40" t="str">
        <x:f>IF('Auditoria'!R35="Sim","+0,5: trabalho e todas as listas","−0,5: entrega incompleta")</x:f>
        <x:v>+0,5: trabalho e todas as listas</x:v>
      </x:c>
    </x:row>
    <x:row r="36" ht="29" customHeight="1">
      <x:c r="A36" s="28" t="str">
        <x:f>'Auditoria'!A36</x:f>
        <x:v>Gustavo Campos dos Santos</x:v>
      </x:c>
      <x:c r="B36" s="30" t="str">
        <x:f>'Auditoria'!B36</x:f>
        <x:v>15528312</x:v>
      </x:c>
      <x:c r="C36" s="35" t="n">
        <x:f>'Auditoria'!K36</x:f>
        <x:v>9.2</x:v>
      </x:c>
      <x:c r="D36" s="35" t="n">
        <x:f>'Auditoria'!N36</x:f>
        <x:v>89.6</x:v>
      </x:c>
      <x:c r="E36" s="38" t="str">
        <x:f>'Auditoria'!O36</x:f>
        <x:v>Aprovado</x:v>
      </x:c>
      <x:c r="F36" s="40" t="str">
        <x:f>IF('Auditoria'!R36="Sim","+0,5: trabalho e todas as listas","−0,5: entrega incompleta")</x:f>
        <x:v>+0,5: trabalho e todas as listas</x:v>
      </x:c>
    </x:row>
    <x:row r="37" ht="29" customHeight="1">
      <x:c r="A37" s="28" t="str">
        <x:f>'Auditoria'!A37</x:f>
        <x:v>Gustavo Henrique Garcia Dutra</x:v>
      </x:c>
      <x:c r="B37" s="30" t="str">
        <x:f>'Auditoria'!B37</x:f>
        <x:v>15553839</x:v>
      </x:c>
      <x:c r="C37" s="35" t="n">
        <x:f>'Auditoria'!K37</x:f>
        <x:v>8.1</x:v>
      </x:c>
      <x:c r="D37" s="35" t="n">
        <x:f>'Auditoria'!N37</x:f>
        <x:v>89.1</x:v>
      </x:c>
      <x:c r="E37" s="38" t="str">
        <x:f>'Auditoria'!O37</x:f>
        <x:v>Aprovado</x:v>
      </x:c>
      <x:c r="F37" s="40" t="str">
        <x:f>IF('Auditoria'!R37="Sim","+0,5: trabalho e todas as listas","−0,5: entrega incompleta")</x:f>
        <x:v>+0,5: trabalho e todas as listas</x:v>
      </x:c>
    </x:row>
    <x:row r="38" ht="29" customHeight="1">
      <x:c r="A38" s="28" t="str">
        <x:f>'Auditoria'!A38</x:f>
        <x:v>Gustavo Lopes Rangel Madureira</x:v>
      </x:c>
      <x:c r="B38" s="30" t="str">
        <x:f>'Auditoria'!B38</x:f>
        <x:v>15457821</x:v>
      </x:c>
      <x:c r="C38" s="35" t="n">
        <x:f>'Auditoria'!K38</x:f>
        <x:v>6.4</x:v>
      </x:c>
      <x:c r="D38" s="35" t="n">
        <x:f>'Auditoria'!N38</x:f>
        <x:v>88.2</x:v>
      </x:c>
      <x:c r="E38" s="38" t="str">
        <x:f>'Auditoria'!O38</x:f>
        <x:v>Aprovado</x:v>
      </x:c>
      <x:c r="F38" s="40" t="str">
        <x:f>IF('Auditoria'!R38="Sim","+0,5: trabalho e todas as listas","−0,5: entrega incompleta")</x:f>
        <x:v>+0,5: trabalho e todas as listas</x:v>
      </x:c>
    </x:row>
    <x:row r="39" ht="29" customHeight="1">
      <x:c r="A39" s="28" t="str">
        <x:f>'Auditoria'!A39</x:f>
        <x:v>Isabel Chinen Nascimento Godoy</x:v>
      </x:c>
      <x:c r="B39" s="30" t="str">
        <x:f>'Auditoria'!B39</x:f>
        <x:v>15676771</x:v>
      </x:c>
      <x:c r="C39" s="35" t="n">
        <x:f>'Auditoria'!K39</x:f>
        <x:v>9</x:v>
      </x:c>
      <x:c r="D39" s="35" t="n">
        <x:f>'Auditoria'!N39</x:f>
        <x:v>89.5</x:v>
      </x:c>
      <x:c r="E39" s="38" t="str">
        <x:f>'Auditoria'!O39</x:f>
        <x:v>Aprovado</x:v>
      </x:c>
      <x:c r="F39" s="40" t="str">
        <x:f>IF('Auditoria'!R39="Sim","+0,5: trabalho e todas as listas","−0,5: entrega incompleta")</x:f>
        <x:v>+0,5: trabalho e todas as listas</x:v>
      </x:c>
    </x:row>
    <x:row r="40" ht="29" customHeight="1">
      <x:c r="A40" s="28" t="str">
        <x:f>'Auditoria'!A40</x:f>
        <x:v>Jaqueline Lorenseti dos Santos</x:v>
      </x:c>
      <x:c r="B40" s="30" t="str">
        <x:f>'Auditoria'!B40</x:f>
        <x:v>13723971</x:v>
      </x:c>
      <x:c r="C40" s="35" t="n">
        <x:f>'Auditoria'!K40</x:f>
        <x:v>0</x:v>
      </x:c>
      <x:c r="D40" s="35" t="n">
        <x:f>'Auditoria'!N40</x:f>
        <x:v>50</x:v>
      </x:c>
      <x:c r="E40" s="38" t="str">
        <x:f>'Auditoria'!O40</x:f>
        <x:v>Reprovado</x:v>
      </x:c>
      <x:c r="F40" s="40" t="str">
        <x:f>IF('Auditoria'!R40="Sim","+0,5: trabalho e todas as listas","−0,5: entrega incompleta")</x:f>
        <x:v>−0,5: entrega incompleta</x:v>
      </x:c>
    </x:row>
    <x:row r="41" ht="29" customHeight="1">
      <x:c r="A41" s="28" t="str">
        <x:f>'Auditoria'!A41</x:f>
        <x:v>Jhonathan Rafael Oliveira</x:v>
      </x:c>
      <x:c r="B41" s="30" t="str">
        <x:f>'Auditoria'!B41</x:f>
        <x:v>14678166</x:v>
      </x:c>
      <x:c r="C41" s="35" t="n">
        <x:f>'Auditoria'!K41</x:f>
        <x:v>0</x:v>
      </x:c>
      <x:c r="D41" s="35" t="n">
        <x:f>'Auditoria'!N41</x:f>
        <x:v>0</x:v>
      </x:c>
      <x:c r="E41" s="38" t="str">
        <x:f>'Auditoria'!O41</x:f>
        <x:v>Reprovado</x:v>
      </x:c>
      <x:c r="F41" s="40" t="str">
        <x:f>IF('Auditoria'!R41="Sim","+0,5: trabalho e todas as listas","−0,5: entrega incompleta")</x:f>
        <x:v>−0,5: entrega incompleta</x:v>
      </x:c>
    </x:row>
    <x:row r="42" ht="29" customHeight="1">
      <x:c r="A42" s="28" t="str">
        <x:f>'Auditoria'!A42</x:f>
        <x:v>Joao Neto Campos dos Santos</x:v>
      </x:c>
      <x:c r="B42" s="30" t="str">
        <x:f>'Auditoria'!B42</x:f>
        <x:v>8579081</x:v>
      </x:c>
      <x:c r="C42" s="35" t="n">
        <x:f>'Auditoria'!K42</x:f>
        <x:v>0</x:v>
      </x:c>
      <x:c r="D42" s="35" t="n">
        <x:f>'Auditoria'!N42</x:f>
        <x:v>0</x:v>
      </x:c>
      <x:c r="E42" s="38" t="str">
        <x:f>'Auditoria'!O42</x:f>
        <x:v>Reprovado</x:v>
      </x:c>
      <x:c r="F42" s="40" t="str">
        <x:f>IF('Auditoria'!R42="Sim","+0,5: trabalho e todas as listas","−0,5: entrega incompleta")</x:f>
        <x:v>−0,5: entrega incompleta</x:v>
      </x:c>
    </x:row>
    <x:row r="43" ht="29" customHeight="1">
      <x:c r="A43" s="28" t="str">
        <x:f>'Auditoria'!A43</x:f>
        <x:v>Joao Vitor Barbosa Mariano Ferreira</x:v>
      </x:c>
      <x:c r="B43" s="30" t="str">
        <x:f>'Auditoria'!B43</x:f>
        <x:v>15464083</x:v>
      </x:c>
      <x:c r="C43" s="35" t="n">
        <x:f>'Auditoria'!K43</x:f>
        <x:v>8.4</x:v>
      </x:c>
      <x:c r="D43" s="35" t="n">
        <x:f>'Auditoria'!N43</x:f>
        <x:v>79.2</x:v>
      </x:c>
      <x:c r="E43" s="38" t="str">
        <x:f>'Auditoria'!O43</x:f>
        <x:v>Aprovado</x:v>
      </x:c>
      <x:c r="F43" s="40" t="str">
        <x:f>IF('Auditoria'!R43="Sim","+0,5: trabalho e todas as listas","−0,5: entrega incompleta")</x:f>
        <x:v>−0,5: entrega incompleta</x:v>
      </x:c>
    </x:row>
    <x:row r="44" ht="29" customHeight="1">
      <x:c r="A44" s="28" t="str">
        <x:f>'Auditoria'!A44</x:f>
        <x:v>João Pedro Prates da Conceição Galhianne</x:v>
      </x:c>
      <x:c r="B44" s="30" t="str">
        <x:f>'Auditoria'!B44</x:f>
        <x:v>8682184</x:v>
      </x:c>
      <x:c r="C44" s="35" t="n">
        <x:f>'Auditoria'!K44</x:f>
        <x:v>10</x:v>
      </x:c>
      <x:c r="D44" s="35" t="n">
        <x:f>'Auditoria'!N44</x:f>
        <x:v>90</x:v>
      </x:c>
      <x:c r="E44" s="38" t="str">
        <x:f>'Auditoria'!O44</x:f>
        <x:v>Aprovado</x:v>
      </x:c>
      <x:c r="F44" s="40" t="str">
        <x:f>IF('Auditoria'!R44="Sim","+0,5: trabalho e todas as listas","−0,5: entrega incompleta")</x:f>
        <x:v>+0,5: trabalho e todas as listas</x:v>
      </x:c>
    </x:row>
    <x:row r="45" ht="29" customHeight="1">
      <x:c r="A45" s="28" t="str">
        <x:f>'Auditoria'!A45</x:f>
        <x:v>João Victor Ricchini Freire de Carvalho</x:v>
      </x:c>
      <x:c r="B45" s="30" t="str">
        <x:f>'Auditoria'!B45</x:f>
        <x:v>10765228</x:v>
      </x:c>
      <x:c r="C45" s="35" t="n">
        <x:f>'Auditoria'!K45</x:f>
        <x:v>7</x:v>
      </x:c>
      <x:c r="D45" s="35" t="n">
        <x:f>'Auditoria'!N45</x:f>
        <x:v>78.5</x:v>
      </x:c>
      <x:c r="E45" s="38" t="str">
        <x:f>'Auditoria'!O45</x:f>
        <x:v>Aprovado</x:v>
      </x:c>
      <x:c r="F45" s="40" t="str">
        <x:f>IF('Auditoria'!R45="Sim","+0,5: trabalho e todas as listas","−0,5: entrega incompleta")</x:f>
        <x:v>−0,5: entrega incompleta</x:v>
      </x:c>
    </x:row>
    <x:row r="46" ht="29" customHeight="1">
      <x:c r="A46" s="28" t="str">
        <x:f>'Auditoria'!A46</x:f>
        <x:v>João Vítor Fávero Barros</x:v>
      </x:c>
      <x:c r="B46" s="30" t="str">
        <x:f>'Auditoria'!B46</x:f>
        <x:v>14583212</x:v>
      </x:c>
      <x:c r="C46" s="35" t="n">
        <x:f>'Auditoria'!K46</x:f>
        <x:v>9.2</x:v>
      </x:c>
      <x:c r="D46" s="35" t="n">
        <x:f>'Auditoria'!N46</x:f>
        <x:v>89.6</x:v>
      </x:c>
      <x:c r="E46" s="38" t="str">
        <x:f>'Auditoria'!O46</x:f>
        <x:v>Aprovado</x:v>
      </x:c>
      <x:c r="F46" s="40" t="str">
        <x:f>IF('Auditoria'!R46="Sim","+0,5: trabalho e todas as listas","−0,5: entrega incompleta")</x:f>
        <x:v>+0,5: trabalho e todas as listas</x:v>
      </x:c>
    </x:row>
    <x:row r="47" ht="29" customHeight="1">
      <x:c r="A47" s="28" t="str">
        <x:f>'Auditoria'!A47</x:f>
        <x:v>Ju Magalhães</x:v>
      </x:c>
      <x:c r="B47" s="30" t="str">
        <x:f>'Auditoria'!B47</x:f>
        <x:v>14654997</x:v>
      </x:c>
      <x:c r="C47" s="35" t="n">
        <x:f>'Auditoria'!K47</x:f>
        <x:v>5.9</x:v>
      </x:c>
      <x:c r="D47" s="35" t="n">
        <x:f>'Auditoria'!N47</x:f>
        <x:v>88</x:v>
      </x:c>
      <x:c r="E47" s="38" t="str">
        <x:f>'Auditoria'!O47</x:f>
        <x:v>Aprovado</x:v>
      </x:c>
      <x:c r="F47" s="40" t="str">
        <x:f>IF('Auditoria'!R47="Sim","+0,5: trabalho e todas as listas","−0,5: entrega incompleta")</x:f>
        <x:v>+0,5: trabalho e todas as listas</x:v>
      </x:c>
    </x:row>
    <x:row r="48" ht="29" customHeight="1">
      <x:c r="A48" s="28" t="str">
        <x:f>'Auditoria'!A48</x:f>
        <x:v>Julia Franca e Castilho</x:v>
      </x:c>
      <x:c r="B48" s="30" t="str">
        <x:f>'Auditoria'!B48</x:f>
        <x:v>14584443</x:v>
      </x:c>
      <x:c r="C48" s="35" t="n">
        <x:f>'Auditoria'!K48</x:f>
        <x:v>10</x:v>
      </x:c>
      <x:c r="D48" s="35" t="n">
        <x:f>'Auditoria'!N48</x:f>
        <x:v>90</x:v>
      </x:c>
      <x:c r="E48" s="38" t="str">
        <x:f>'Auditoria'!O48</x:f>
        <x:v>Aprovado</x:v>
      </x:c>
      <x:c r="F48" s="40" t="str">
        <x:f>IF('Auditoria'!R48="Sim","+0,5: trabalho e todas as listas","−0,5: entrega incompleta")</x:f>
        <x:v>+0,5: trabalho e todas as listas</x:v>
      </x:c>
    </x:row>
    <x:row r="49" ht="29" customHeight="1">
      <x:c r="A49" s="28" t="str">
        <x:f>'Auditoria'!A49</x:f>
        <x:v>Jéssica de Morais Batista</x:v>
      </x:c>
      <x:c r="B49" s="30" t="str">
        <x:f>'Auditoria'!B49</x:f>
        <x:v>10437013</x:v>
      </x:c>
      <x:c r="C49" s="35" t="n">
        <x:f>'Auditoria'!K49</x:f>
        <x:v>8.7</x:v>
      </x:c>
      <x:c r="D49" s="35" t="n">
        <x:f>'Auditoria'!N49</x:f>
        <x:v>89.4</x:v>
      </x:c>
      <x:c r="E49" s="38" t="str">
        <x:f>'Auditoria'!O49</x:f>
        <x:v>Aprovado</x:v>
      </x:c>
      <x:c r="F49" s="40" t="str">
        <x:f>IF('Auditoria'!R49="Sim","+0,5: trabalho e todas as listas","−0,5: entrega incompleta")</x:f>
        <x:v>+0,5: trabalho e todas as listas</x:v>
      </x:c>
    </x:row>
    <x:row r="50" ht="29" customHeight="1">
      <x:c r="A50" s="28" t="str">
        <x:f>'Auditoria'!A50</x:f>
        <x:v>Lara Nunes de Lacerda</x:v>
      </x:c>
      <x:c r="B50" s="30" t="str">
        <x:f>'Auditoria'!B50</x:f>
        <x:v>14586921</x:v>
      </x:c>
      <x:c r="C50" s="35" t="n">
        <x:f>'Auditoria'!K50</x:f>
        <x:v>9.9</x:v>
      </x:c>
      <x:c r="D50" s="35" t="n">
        <x:f>'Auditoria'!N50</x:f>
        <x:v>90</x:v>
      </x:c>
      <x:c r="E50" s="38" t="str">
        <x:f>'Auditoria'!O50</x:f>
        <x:v>Aprovado</x:v>
      </x:c>
      <x:c r="F50" s="40" t="str">
        <x:f>IF('Auditoria'!R50="Sim","+0,5: trabalho e todas as listas","−0,5: entrega incompleta")</x:f>
        <x:v>+0,5: trabalho e todas as listas</x:v>
      </x:c>
    </x:row>
    <x:row r="51" ht="29" customHeight="1">
      <x:c r="A51" s="28" t="str">
        <x:f>'Auditoria'!A51</x:f>
        <x:v>Larissa Garcez Ribeiro</x:v>
      </x:c>
      <x:c r="B51" s="30" t="str">
        <x:f>'Auditoria'!B51</x:f>
        <x:v>14655362</x:v>
      </x:c>
      <x:c r="C51" s="35" t="n">
        <x:f>'Auditoria'!K51</x:f>
        <x:v>10</x:v>
      </x:c>
      <x:c r="D51" s="35" t="n">
        <x:f>'Auditoria'!N51</x:f>
        <x:v>90</x:v>
      </x:c>
      <x:c r="E51" s="38" t="str">
        <x:f>'Auditoria'!O51</x:f>
        <x:v>Aprovado</x:v>
      </x:c>
      <x:c r="F51" s="40" t="str">
        <x:f>IF('Auditoria'!R51="Sim","+0,5: trabalho e todas as listas","−0,5: entrega incompleta")</x:f>
        <x:v>+0,5: trabalho e todas as listas</x:v>
      </x:c>
    </x:row>
    <x:row r="52" ht="29" customHeight="1">
      <x:c r="A52" s="28" t="str">
        <x:f>'Auditoria'!A52</x:f>
        <x:v>Leticia Rodrigues de Sousa</x:v>
      </x:c>
      <x:c r="B52" s="30" t="str">
        <x:f>'Auditoria'!B52</x:f>
        <x:v>15582209</x:v>
      </x:c>
      <x:c r="C52" s="35" t="n">
        <x:f>'Auditoria'!K52</x:f>
        <x:v>8.6</x:v>
      </x:c>
      <x:c r="D52" s="35" t="n">
        <x:f>'Auditoria'!N52</x:f>
        <x:v>79.3</x:v>
      </x:c>
      <x:c r="E52" s="38" t="str">
        <x:f>'Auditoria'!O52</x:f>
        <x:v>Aprovado</x:v>
      </x:c>
      <x:c r="F52" s="40" t="str">
        <x:f>IF('Auditoria'!R52="Sim","+0,5: trabalho e todas as listas","−0,5: entrega incompleta")</x:f>
        <x:v>−0,5: entrega incompleta</x:v>
      </x:c>
    </x:row>
    <x:row r="53" ht="29" customHeight="1">
      <x:c r="A53" s="28" t="str">
        <x:f>'Auditoria'!A53</x:f>
        <x:v>Lincoln Antonio Andrade de Moura</x:v>
      </x:c>
      <x:c r="B53" s="30" t="str">
        <x:f>'Auditoria'!B53</x:f>
        <x:v>14589448</x:v>
      </x:c>
      <x:c r="C53" s="35" t="n">
        <x:f>'Auditoria'!K53</x:f>
        <x:v>7.800000000000001</x:v>
      </x:c>
      <x:c r="D53" s="35" t="n">
        <x:f>'Auditoria'!N53</x:f>
        <x:v>78.9</x:v>
      </x:c>
      <x:c r="E53" s="38" t="str">
        <x:f>'Auditoria'!O53</x:f>
        <x:v>Aprovado</x:v>
      </x:c>
      <x:c r="F53" s="40" t="str">
        <x:f>IF('Auditoria'!R53="Sim","+0,5: trabalho e todas as listas","−0,5: entrega incompleta")</x:f>
        <x:v>−0,5: entrega incompleta</x:v>
      </x:c>
    </x:row>
    <x:row r="54" ht="29" customHeight="1">
      <x:c r="A54" s="28" t="str">
        <x:f>'Auditoria'!A54</x:f>
        <x:v>Lucas Gonçalves de Lima</x:v>
      </x:c>
      <x:c r="B54" s="30" t="str">
        <x:f>'Auditoria'!B54</x:f>
        <x:v>11075655</x:v>
      </x:c>
      <x:c r="C54" s="35" t="n">
        <x:f>'Auditoria'!K54</x:f>
        <x:v>0</x:v>
      </x:c>
      <x:c r="D54" s="35" t="n">
        <x:f>'Auditoria'!N54</x:f>
        <x:v>0</x:v>
      </x:c>
      <x:c r="E54" s="38" t="str">
        <x:f>'Auditoria'!O54</x:f>
        <x:v>Reprovado</x:v>
      </x:c>
      <x:c r="F54" s="40" t="str">
        <x:f>IF('Auditoria'!R54="Sim","+0,5: trabalho e todas as listas","−0,5: entrega incompleta")</x:f>
        <x:v>−0,5: entrega incompleta</x:v>
      </x:c>
    </x:row>
    <x:row r="55" ht="29" customHeight="1">
      <x:c r="A55" s="28" t="str">
        <x:f>'Auditoria'!A55</x:f>
        <x:v>Luccas Eduardo Ferraz da Silva</x:v>
      </x:c>
      <x:c r="B55" s="30" t="str">
        <x:f>'Auditoria'!B55</x:f>
        <x:v>13636981</x:v>
      </x:c>
      <x:c r="C55" s="35" t="n">
        <x:f>'Auditoria'!K55</x:f>
        <x:v>9.4</x:v>
      </x:c>
      <x:c r="D55" s="35" t="n">
        <x:f>'Auditoria'!N55</x:f>
        <x:v>89.7</x:v>
      </x:c>
      <x:c r="E55" s="38" t="str">
        <x:f>'Auditoria'!O55</x:f>
        <x:v>Aprovado</x:v>
      </x:c>
      <x:c r="F55" s="40" t="str">
        <x:f>IF('Auditoria'!R55="Sim","+0,5: trabalho e todas as listas","−0,5: entrega incompleta")</x:f>
        <x:v>+0,5: trabalho e todas as listas</x:v>
      </x:c>
    </x:row>
    <x:row r="56" ht="29" customHeight="1">
      <x:c r="A56" s="28" t="str">
        <x:f>'Auditoria'!A56</x:f>
        <x:v>Luiz Antonio Eleuterio de Lima</x:v>
      </x:c>
      <x:c r="B56" s="30" t="str">
        <x:f>'Auditoria'!B56</x:f>
        <x:v>14759962</x:v>
      </x:c>
      <x:c r="C56" s="35" t="n">
        <x:f>'Auditoria'!K56</x:f>
        <x:v>8.2</x:v>
      </x:c>
      <x:c r="D56" s="35" t="n">
        <x:f>'Auditoria'!N56</x:f>
        <x:v>89.1</x:v>
      </x:c>
      <x:c r="E56" s="38" t="str">
        <x:f>'Auditoria'!O56</x:f>
        <x:v>Aprovado</x:v>
      </x:c>
      <x:c r="F56" s="40" t="str">
        <x:f>IF('Auditoria'!R56="Sim","+0,5: trabalho e todas as listas","−0,5: entrega incompleta")</x:f>
        <x:v>+0,5: trabalho e todas as listas</x:v>
      </x:c>
    </x:row>
    <x:row r="57" ht="29" customHeight="1">
      <x:c r="A57" s="28" t="str">
        <x:f>'Auditoria'!A57</x:f>
        <x:v>Luiz Fernando Lima Chaves</x:v>
      </x:c>
      <x:c r="B57" s="30" t="str">
        <x:f>'Auditoria'!B57</x:f>
        <x:v>14678357</x:v>
      </x:c>
      <x:c r="C57" s="35" t="n">
        <x:f>'Auditoria'!K57</x:f>
        <x:v>9.5</x:v>
      </x:c>
      <x:c r="D57" s="35" t="n">
        <x:f>'Auditoria'!N57</x:f>
        <x:v>89.8</x:v>
      </x:c>
      <x:c r="E57" s="38" t="str">
        <x:f>'Auditoria'!O57</x:f>
        <x:v>Aprovado</x:v>
      </x:c>
      <x:c r="F57" s="40" t="str">
        <x:f>IF('Auditoria'!R57="Sim","+0,5: trabalho e todas as listas","−0,5: entrega incompleta")</x:f>
        <x:v>+0,5: trabalho e todas as listas</x:v>
      </x:c>
    </x:row>
    <x:row r="58" ht="29" customHeight="1">
      <x:c r="A58" s="28" t="str">
        <x:f>'Auditoria'!A58</x:f>
        <x:v>Maria Luisa Reis Melo</x:v>
      </x:c>
      <x:c r="B58" s="30" t="str">
        <x:f>'Auditoria'!B58</x:f>
        <x:v>16889846</x:v>
      </x:c>
      <x:c r="C58" s="35" t="n">
        <x:f>'Auditoria'!K58</x:f>
        <x:v>10</x:v>
      </x:c>
      <x:c r="D58" s="35" t="n">
        <x:f>'Auditoria'!N58</x:f>
        <x:v>90</x:v>
      </x:c>
      <x:c r="E58" s="38" t="str">
        <x:f>'Auditoria'!O58</x:f>
        <x:v>Aprovado</x:v>
      </x:c>
      <x:c r="F58" s="40" t="str">
        <x:f>IF('Auditoria'!R58="Sim","+0,5: trabalho e todas as listas","−0,5: entrega incompleta")</x:f>
        <x:v>+0,5: trabalho e todas as listas</x:v>
      </x:c>
    </x:row>
    <x:row r="59" ht="29" customHeight="1">
      <x:c r="A59" s="28" t="str">
        <x:f>'Auditoria'!A59</x:f>
        <x:v>Mariana Araujo Püschel</x:v>
      </x:c>
      <x:c r="B59" s="30" t="str">
        <x:f>'Auditoria'!B59</x:f>
        <x:v>4725594</x:v>
      </x:c>
      <x:c r="C59" s="35" t="n">
        <x:f>'Auditoria'!K59</x:f>
        <x:v>5.5</x:v>
      </x:c>
      <x:c r="D59" s="35" t="n">
        <x:f>'Auditoria'!N59</x:f>
        <x:v>87.8</x:v>
      </x:c>
      <x:c r="E59" s="38" t="str">
        <x:f>'Auditoria'!O59</x:f>
        <x:v>Aprovado</x:v>
      </x:c>
      <x:c r="F59" s="40" t="str">
        <x:f>IF('Auditoria'!R59="Sim","+0,5: trabalho e todas as listas","−0,5: entrega incompleta")</x:f>
        <x:v>+0,5: trabalho e todas as listas</x:v>
      </x:c>
    </x:row>
    <x:row r="60" ht="29" customHeight="1">
      <x:c r="A60" s="28" t="str">
        <x:f>'Auditoria'!A60</x:f>
        <x:v>Mariana Rodrigues Carneiro Silva</x:v>
      </x:c>
      <x:c r="B60" s="30" t="str">
        <x:f>'Auditoria'!B60</x:f>
        <x:v>14596738</x:v>
      </x:c>
      <x:c r="C60" s="35" t="n">
        <x:f>'Auditoria'!K60</x:f>
        <x:v>5.8</x:v>
      </x:c>
      <x:c r="D60" s="35" t="n">
        <x:f>'Auditoria'!N60</x:f>
        <x:v>77.9</x:v>
      </x:c>
      <x:c r="E60" s="38" t="str">
        <x:f>'Auditoria'!O60</x:f>
        <x:v>Aprovado</x:v>
      </x:c>
      <x:c r="F60" s="40" t="str">
        <x:f>IF('Auditoria'!R60="Sim","+0,5: trabalho e todas as listas","−0,5: entrega incompleta")</x:f>
        <x:v>−0,5: entrega incompleta</x:v>
      </x:c>
    </x:row>
    <x:row r="61" ht="29" customHeight="1">
      <x:c r="A61" s="28" t="str">
        <x:f>'Auditoria'!A61</x:f>
        <x:v>Mariana Sarmento Patrone</x:v>
      </x:c>
      <x:c r="B61" s="30" t="str">
        <x:f>'Auditoria'!B61</x:f>
        <x:v>12234981</x:v>
      </x:c>
      <x:c r="C61" s="35" t="n">
        <x:f>'Auditoria'!K61</x:f>
        <x:v>0</x:v>
      </x:c>
      <x:c r="D61" s="35" t="n">
        <x:f>'Auditoria'!N61</x:f>
        <x:v>0</x:v>
      </x:c>
      <x:c r="E61" s="38" t="str">
        <x:f>'Auditoria'!O61</x:f>
        <x:v>Reprovado</x:v>
      </x:c>
      <x:c r="F61" s="40" t="str">
        <x:f>IF('Auditoria'!R61="Sim","+0,5: trabalho e todas as listas","−0,5: entrega incompleta")</x:f>
        <x:v>−0,5: entrega incompleta</x:v>
      </x:c>
    </x:row>
    <x:row r="62" ht="29" customHeight="1">
      <x:c r="A62" s="28" t="str">
        <x:f>'Auditoria'!A62</x:f>
        <x:v>Melyssa da Mata Bortuluzi</x:v>
      </x:c>
      <x:c r="B62" s="30" t="str">
        <x:f>'Auditoria'!B62</x:f>
        <x:v>15524472</x:v>
      </x:c>
      <x:c r="C62" s="35" t="n">
        <x:f>'Auditoria'!K62</x:f>
        <x:v>9.3</x:v>
      </x:c>
      <x:c r="D62" s="35" t="n">
        <x:f>'Auditoria'!N62</x:f>
        <x:v>89.7</x:v>
      </x:c>
      <x:c r="E62" s="38" t="str">
        <x:f>'Auditoria'!O62</x:f>
        <x:v>Aprovado</x:v>
      </x:c>
      <x:c r="F62" s="40" t="str">
        <x:f>IF('Auditoria'!R62="Sim","+0,5: trabalho e todas as listas","−0,5: entrega incompleta")</x:f>
        <x:v>+0,5: trabalho e todas as listas</x:v>
      </x:c>
    </x:row>
    <x:row r="63" ht="29" customHeight="1">
      <x:c r="A63" s="28" t="str">
        <x:f>'Auditoria'!A63</x:f>
        <x:v>Mirela Gabriela Martins de Mattos</x:v>
      </x:c>
      <x:c r="B63" s="30" t="str">
        <x:f>'Auditoria'!B63</x:f>
        <x:v>15361241</x:v>
      </x:c>
      <x:c r="C63" s="35" t="n">
        <x:f>'Auditoria'!K63</x:f>
        <x:v>9.2</x:v>
      </x:c>
      <x:c r="D63" s="35" t="n">
        <x:f>'Auditoria'!N63</x:f>
        <x:v>89.6</x:v>
      </x:c>
      <x:c r="E63" s="38" t="str">
        <x:f>'Auditoria'!O63</x:f>
        <x:v>Aprovado</x:v>
      </x:c>
      <x:c r="F63" s="40" t="str">
        <x:f>IF('Auditoria'!R63="Sim","+0,5: trabalho e todas as listas","−0,5: entrega incompleta")</x:f>
        <x:v>+0,5: trabalho e todas as listas</x:v>
      </x:c>
    </x:row>
    <x:row r="64" ht="29" customHeight="1">
      <x:c r="A64" s="28" t="str">
        <x:f>'Auditoria'!A64</x:f>
        <x:v>Murilo Rocha Souto Maior</x:v>
      </x:c>
      <x:c r="B64" s="30" t="str">
        <x:f>'Auditoria'!B64</x:f>
        <x:v>13636574</x:v>
      </x:c>
      <x:c r="C64" s="35" t="n">
        <x:f>'Auditoria'!K64</x:f>
        <x:v>9.7</x:v>
      </x:c>
      <x:c r="D64" s="35" t="n">
        <x:f>'Auditoria'!N64</x:f>
        <x:v>89.9</x:v>
      </x:c>
      <x:c r="E64" s="38" t="str">
        <x:f>'Auditoria'!O64</x:f>
        <x:v>Aprovado</x:v>
      </x:c>
      <x:c r="F64" s="40" t="str">
        <x:f>IF('Auditoria'!R64="Sim","+0,5: trabalho e todas as listas","−0,5: entrega incompleta")</x:f>
        <x:v>+0,5: trabalho e todas as listas</x:v>
      </x:c>
    </x:row>
    <x:row r="65" ht="29" customHeight="1">
      <x:c r="A65" s="28" t="str">
        <x:f>'Auditoria'!A65</x:f>
        <x:v>Nathan Henrique de Souza Fonseca</x:v>
      </x:c>
      <x:c r="B65" s="30" t="str">
        <x:f>'Auditoria'!B65</x:f>
        <x:v>16894387</x:v>
      </x:c>
      <x:c r="C65" s="35" t="n">
        <x:f>'Auditoria'!K65</x:f>
        <x:v>5.4</x:v>
      </x:c>
      <x:c r="D65" s="35" t="n">
        <x:f>'Auditoria'!N65</x:f>
        <x:v>77.7</x:v>
      </x:c>
      <x:c r="E65" s="38" t="str">
        <x:f>'Auditoria'!O65</x:f>
        <x:v>Aprovado</x:v>
      </x:c>
      <x:c r="F65" s="40" t="str">
        <x:f>IF('Auditoria'!R65="Sim","+0,5: trabalho e todas as listas","−0,5: entrega incompleta")</x:f>
        <x:v>−0,5: entrega incompleta</x:v>
      </x:c>
    </x:row>
    <x:row r="66" ht="29" customHeight="1">
      <x:c r="A66" s="28" t="str">
        <x:f>'Auditoria'!A66</x:f>
        <x:v>Nicolas Kahli Dourado Maciel</x:v>
      </x:c>
      <x:c r="B66" s="30" t="str">
        <x:f>'Auditoria'!B66</x:f>
        <x:v>13721986</x:v>
      </x:c>
      <x:c r="C66" s="35" t="n">
        <x:f>'Auditoria'!K66</x:f>
        <x:v>0</x:v>
      </x:c>
      <x:c r="D66" s="35" t="n">
        <x:f>'Auditoria'!N66</x:f>
        <x:v>0</x:v>
      </x:c>
      <x:c r="E66" s="38" t="str">
        <x:f>'Auditoria'!O66</x:f>
        <x:v>Reprovado</x:v>
      </x:c>
      <x:c r="F66" s="40" t="str">
        <x:f>IF('Auditoria'!R66="Sim","+0,5: trabalho e todas as listas","−0,5: entrega incompleta")</x:f>
        <x:v>−0,5: entrega incompleta</x:v>
      </x:c>
    </x:row>
    <x:row r="67" ht="29" customHeight="1">
      <x:c r="A67" s="28" t="str">
        <x:f>'Auditoria'!A67</x:f>
        <x:v>Otavio Cardoso de Moraes</x:v>
      </x:c>
      <x:c r="B67" s="30" t="str">
        <x:f>'Auditoria'!B67</x:f>
        <x:v>14657447</x:v>
      </x:c>
      <x:c r="C67" s="35" t="n">
        <x:f>'Auditoria'!K67</x:f>
        <x:v>9.3</x:v>
      </x:c>
      <x:c r="D67" s="35" t="n">
        <x:f>'Auditoria'!N67</x:f>
        <x:v>79.7</x:v>
      </x:c>
      <x:c r="E67" s="38" t="str">
        <x:f>'Auditoria'!O67</x:f>
        <x:v>Aprovado</x:v>
      </x:c>
      <x:c r="F67" s="40" t="str">
        <x:f>IF('Auditoria'!R67="Sim","+0,5: trabalho e todas as listas","−0,5: entrega incompleta")</x:f>
        <x:v>−0,5: entrega incompleta</x:v>
      </x:c>
    </x:row>
    <x:row r="68" ht="29" customHeight="1">
      <x:c r="A68" s="28" t="str">
        <x:f>'Auditoria'!A68</x:f>
        <x:v>Paula Juliana Rubio Gonzales</x:v>
      </x:c>
      <x:c r="B68" s="30" t="str">
        <x:f>'Auditoria'!B68</x:f>
        <x:v>12521185</x:v>
      </x:c>
      <x:c r="C68" s="35" t="n">
        <x:f>'Auditoria'!K68</x:f>
        <x:v>0</x:v>
      </x:c>
      <x:c r="D68" s="35" t="n">
        <x:f>'Auditoria'!N68</x:f>
        <x:v>0</x:v>
      </x:c>
      <x:c r="E68" s="38" t="str">
        <x:f>'Auditoria'!O68</x:f>
        <x:v>Reprovado</x:v>
      </x:c>
      <x:c r="F68" s="40" t="str">
        <x:f>IF('Auditoria'!R68="Sim","+0,5: trabalho e todas as listas","−0,5: entrega incompleta")</x:f>
        <x:v>−0,5: entrega incompleta</x:v>
      </x:c>
    </x:row>
    <x:row r="69" ht="29" customHeight="1">
      <x:c r="A69" s="28" t="str">
        <x:f>'Auditoria'!A69</x:f>
        <x:v>Pedro Henrique Abbonizio Franco</x:v>
      </x:c>
      <x:c r="B69" s="30" t="str">
        <x:f>'Auditoria'!B69</x:f>
        <x:v>7618206</x:v>
      </x:c>
      <x:c r="C69" s="35" t="n">
        <x:f>'Auditoria'!K69</x:f>
        <x:v>0</x:v>
      </x:c>
      <x:c r="D69" s="35" t="n">
        <x:f>'Auditoria'!N69</x:f>
        <x:v>0</x:v>
      </x:c>
      <x:c r="E69" s="38" t="str">
        <x:f>'Auditoria'!O69</x:f>
        <x:v>Reprovado</x:v>
      </x:c>
      <x:c r="F69" s="40" t="str">
        <x:f>IF('Auditoria'!R69="Sim","+0,5: trabalho e todas as listas","−0,5: entrega incompleta")</x:f>
        <x:v>−0,5: entrega incompleta</x:v>
      </x:c>
    </x:row>
    <x:row r="70" ht="29" customHeight="1">
      <x:c r="A70" s="28" t="str">
        <x:f>'Auditoria'!A70</x:f>
        <x:v>Pedro Henrique Nunes Salgueiro</x:v>
      </x:c>
      <x:c r="B70" s="30" t="str">
        <x:f>'Auditoria'!B70</x:f>
        <x:v>11316163</x:v>
      </x:c>
      <x:c r="C70" s="35" t="n">
        <x:f>'Auditoria'!K70</x:f>
        <x:v>0</x:v>
      </x:c>
      <x:c r="D70" s="35" t="n">
        <x:f>'Auditoria'!N70</x:f>
        <x:v>50</x:v>
      </x:c>
      <x:c r="E70" s="38" t="str">
        <x:f>'Auditoria'!O70</x:f>
        <x:v>Reprovado</x:v>
      </x:c>
      <x:c r="F70" s="40" t="str">
        <x:f>IF('Auditoria'!R70="Sim","+0,5: trabalho e todas as listas","−0,5: entrega incompleta")</x:f>
        <x:v>−0,5: entrega incompleta</x:v>
      </x:c>
    </x:row>
    <x:row r="71" ht="29" customHeight="1">
      <x:c r="A71" s="28" t="str">
        <x:f>'Auditoria'!A71</x:f>
        <x:v>Pedro Henrique Rocha Ribeiro Costa do Amaral</x:v>
      </x:c>
      <x:c r="B71" s="30" t="str">
        <x:f>'Auditoria'!B71</x:f>
        <x:v>14602925</x:v>
      </x:c>
      <x:c r="C71" s="35" t="n">
        <x:f>'Auditoria'!K71</x:f>
        <x:v>10</x:v>
      </x:c>
      <x:c r="D71" s="35" t="n">
        <x:f>'Auditoria'!N71</x:f>
        <x:v>90</x:v>
      </x:c>
      <x:c r="E71" s="38" t="str">
        <x:f>'Auditoria'!O71</x:f>
        <x:v>Aprovado</x:v>
      </x:c>
      <x:c r="F71" s="40" t="str">
        <x:f>IF('Auditoria'!R71="Sim","+0,5: trabalho e todas as listas","−0,5: entrega incompleta")</x:f>
        <x:v>+0,5: trabalho e todas as listas</x:v>
      </x:c>
    </x:row>
    <x:row r="72" ht="29" customHeight="1">
      <x:c r="A72" s="28" t="str">
        <x:f>'Auditoria'!A72</x:f>
        <x:v>Pedro Lucas Godoi</x:v>
      </x:c>
      <x:c r="B72" s="30" t="str">
        <x:f>'Auditoria'!B72</x:f>
        <x:v>13721516</x:v>
      </x:c>
      <x:c r="C72" s="35" t="n">
        <x:f>'Auditoria'!K72</x:f>
        <x:v>10</x:v>
      </x:c>
      <x:c r="D72" s="35" t="n">
        <x:f>'Auditoria'!N72</x:f>
        <x:v>90</x:v>
      </x:c>
      <x:c r="E72" s="38" t="str">
        <x:f>'Auditoria'!O72</x:f>
        <x:v>Aprovado</x:v>
      </x:c>
      <x:c r="F72" s="40" t="str">
        <x:f>IF('Auditoria'!R72="Sim","+0,5: trabalho e todas as listas","−0,5: entrega incompleta")</x:f>
        <x:v>+0,5: trabalho e todas as listas</x:v>
      </x:c>
    </x:row>
    <x:row r="73" ht="29" customHeight="1">
      <x:c r="A73" s="28" t="str">
        <x:f>'Auditoria'!A73</x:f>
        <x:v>Pedro Sombra de Souza</x:v>
      </x:c>
      <x:c r="B73" s="30" t="str">
        <x:f>'Auditoria'!B73</x:f>
        <x:v>13636719</x:v>
      </x:c>
      <x:c r="C73" s="35" t="n">
        <x:f>'Auditoria'!K73</x:f>
        <x:v>9.4</x:v>
      </x:c>
      <x:c r="D73" s="35" t="n">
        <x:f>'Auditoria'!N73</x:f>
        <x:v>89.7</x:v>
      </x:c>
      <x:c r="E73" s="38" t="str">
        <x:f>'Auditoria'!O73</x:f>
        <x:v>Aprovado</x:v>
      </x:c>
      <x:c r="F73" s="40" t="str">
        <x:f>IF('Auditoria'!R73="Sim","+0,5: trabalho e todas as listas","−0,5: entrega incompleta")</x:f>
        <x:v>+0,5: trabalho e todas as listas</x:v>
      </x:c>
    </x:row>
    <x:row r="74" ht="29" customHeight="1">
      <x:c r="A74" s="28" t="str">
        <x:f>'Auditoria'!A74</x:f>
        <x:v>Rafael Pepe Romano</x:v>
      </x:c>
      <x:c r="B74" s="30" t="str">
        <x:f>'Auditoria'!B74</x:f>
        <x:v>12507571</x:v>
      </x:c>
      <x:c r="C74" s="35" t="n">
        <x:f>'Auditoria'!K74</x:f>
        <x:v>10</x:v>
      </x:c>
      <x:c r="D74" s="35" t="n">
        <x:f>'Auditoria'!N74</x:f>
        <x:v>90</x:v>
      </x:c>
      <x:c r="E74" s="38" t="str">
        <x:f>'Auditoria'!O74</x:f>
        <x:v>Aprovado</x:v>
      </x:c>
      <x:c r="F74" s="40" t="str">
        <x:f>IF('Auditoria'!R74="Sim","+0,5: trabalho e todas as listas","−0,5: entrega incompleta")</x:f>
        <x:v>+0,5: trabalho e todas as listas</x:v>
      </x:c>
    </x:row>
    <x:row r="75" ht="29" customHeight="1">
      <x:c r="A75" s="28" t="str">
        <x:f>'Auditoria'!A75</x:f>
        <x:v>Sara Pereira da Silva</x:v>
      </x:c>
      <x:c r="B75" s="30" t="str">
        <x:f>'Auditoria'!B75</x:f>
        <x:v>11816341</x:v>
      </x:c>
      <x:c r="C75" s="35" t="n">
        <x:f>'Auditoria'!K75</x:f>
        <x:v>0</x:v>
      </x:c>
      <x:c r="D75" s="35" t="n">
        <x:f>'Auditoria'!N75</x:f>
        <x:v>50</x:v>
      </x:c>
      <x:c r="E75" s="38" t="str">
        <x:f>'Auditoria'!O75</x:f>
        <x:v>Reprovado</x:v>
      </x:c>
      <x:c r="F75" s="40" t="str">
        <x:f>IF('Auditoria'!R75="Sim","+0,5: trabalho e todas as listas","−0,5: entrega incompleta")</x:f>
        <x:v>−0,5: entrega incompleta</x:v>
      </x:c>
    </x:row>
    <x:row r="76" ht="29" customHeight="1">
      <x:c r="A76" s="28" t="str">
        <x:f>'Auditoria'!A76</x:f>
        <x:v>Teodoro de Almeida Alkmim Pimenta</x:v>
      </x:c>
      <x:c r="B76" s="30" t="str">
        <x:f>'Auditoria'!B76</x:f>
        <x:v>12507630</x:v>
      </x:c>
      <x:c r="C76" s="35" t="n">
        <x:f>'Auditoria'!K76</x:f>
        <x:v>0</x:v>
      </x:c>
      <x:c r="D76" s="35" t="n">
        <x:f>'Auditoria'!N76</x:f>
        <x:v>50</x:v>
      </x:c>
      <x:c r="E76" s="38" t="str">
        <x:f>'Auditoria'!O76</x:f>
        <x:v>Reprovado</x:v>
      </x:c>
      <x:c r="F76" s="40" t="str">
        <x:f>IF('Auditoria'!R76="Sim","+0,5: trabalho e todas as listas","−0,5: entrega incompleta")</x:f>
        <x:v>−0,5: entrega incompleta</x:v>
      </x:c>
    </x:row>
    <x:row r="77" ht="29" customHeight="1">
      <x:c r="A77" s="28" t="str">
        <x:f>'Auditoria'!A77</x:f>
        <x:v>Thiago Simoni</x:v>
      </x:c>
      <x:c r="B77" s="30" t="str">
        <x:f>'Auditoria'!B77</x:f>
        <x:v>13838774</x:v>
      </x:c>
      <x:c r="C77" s="35" t="n">
        <x:f>'Auditoria'!K77</x:f>
        <x:v>9.4</x:v>
      </x:c>
      <x:c r="D77" s="35" t="n">
        <x:f>'Auditoria'!N77</x:f>
        <x:v>89.7</x:v>
      </x:c>
      <x:c r="E77" s="38" t="str">
        <x:f>'Auditoria'!O77</x:f>
        <x:v>Aprovado</x:v>
      </x:c>
      <x:c r="F77" s="40" t="str">
        <x:f>IF('Auditoria'!R77="Sim","+0,5: trabalho e todas as listas","−0,5: entrega incompleta")</x:f>
        <x:v>+0,5: trabalho e todas as listas</x:v>
      </x:c>
    </x:row>
    <x:row r="78" ht="29" customHeight="1">
      <x:c r="A78" s="28" t="str">
        <x:f>'Auditoria'!A78</x:f>
        <x:v>Veronica Maia Schlickmann Guibu</x:v>
      </x:c>
      <x:c r="B78" s="30" t="str">
        <x:f>'Auditoria'!B78</x:f>
        <x:v>14610153</x:v>
      </x:c>
      <x:c r="C78" s="35" t="n">
        <x:f>'Auditoria'!K78</x:f>
        <x:v>10</x:v>
      </x:c>
      <x:c r="D78" s="35" t="n">
        <x:f>'Auditoria'!N78</x:f>
        <x:v>90</x:v>
      </x:c>
      <x:c r="E78" s="38" t="str">
        <x:f>'Auditoria'!O78</x:f>
        <x:v>Aprovado</x:v>
      </x:c>
      <x:c r="F78" s="40" t="str">
        <x:f>IF('Auditoria'!R78="Sim","+0,5: trabalho e todas as listas","−0,5: entrega incompleta")</x:f>
        <x:v>+0,5: trabalho e todas as listas</x:v>
      </x:c>
    </x:row>
    <x:row r="79" ht="29" customHeight="1">
      <x:c r="A79" s="28" t="str">
        <x:f>'Auditoria'!A79</x:f>
        <x:v>Vitor Barbosa Silva</x:v>
      </x:c>
      <x:c r="B79" s="30" t="str">
        <x:f>'Auditoria'!B79</x:f>
        <x:v>9825991</x:v>
      </x:c>
      <x:c r="C79" s="35" t="n">
        <x:f>'Auditoria'!K79</x:f>
        <x:v>6.7</x:v>
      </x:c>
      <x:c r="D79" s="35" t="n">
        <x:f>'Auditoria'!N79</x:f>
        <x:v>78.4</x:v>
      </x:c>
      <x:c r="E79" s="38" t="str">
        <x:f>'Auditoria'!O79</x:f>
        <x:v>Aprovado</x:v>
      </x:c>
      <x:c r="F79" s="40" t="str">
        <x:f>IF('Auditoria'!R79="Sim","+0,5: trabalho e todas as listas","−0,5: entrega incompleta")</x:f>
        <x:v>−0,5: entrega incompleta</x:v>
      </x:c>
    </x:row>
    <x:row r="80" ht="29" customHeight="1">
      <x:c r="A80" s="28" t="str">
        <x:f>'Auditoria'!A80</x:f>
        <x:v>Yasmim Aparecida Silva Almeida</x:v>
      </x:c>
      <x:c r="B80" s="30" t="str">
        <x:f>'Auditoria'!B80</x:f>
        <x:v>14612631</x:v>
      </x:c>
      <x:c r="C80" s="35" t="n">
        <x:f>'Auditoria'!K80</x:f>
        <x:v>8</x:v>
      </x:c>
      <x:c r="D80" s="35" t="n">
        <x:f>'Auditoria'!N80</x:f>
        <x:v>89</x:v>
      </x:c>
      <x:c r="E80" s="38" t="str">
        <x:f>'Auditoria'!O80</x:f>
        <x:v>Aprovado</x:v>
      </x:c>
      <x:c r="F80" s="40" t="str">
        <x:f>IF('Auditoria'!R80="Sim","+0,5: trabalho e todas as listas","−0,5: entrega incompleta")</x:f>
        <x:v>+0,5: trabalho e todas as listas</x:v>
      </x:c>
    </x:row>
    <x:row r="81" ht="29" customHeight="1">
      <x:c r="A81" s="28" t="str">
        <x:f>'Auditoria'!A81</x:f>
        <x:v>eduardo de oliveira godoy</x:v>
      </x:c>
      <x:c r="B81" s="30" t="str">
        <x:f>'Auditoria'!B81</x:f>
        <x:v>14567093</x:v>
      </x:c>
      <x:c r="C81" s="35" t="n">
        <x:f>'Auditoria'!K81</x:f>
        <x:v>9.5</x:v>
      </x:c>
      <x:c r="D81" s="35" t="n">
        <x:f>'Auditoria'!N81</x:f>
        <x:v>89.8</x:v>
      </x:c>
      <x:c r="E81" s="38" t="str">
        <x:f>'Auditoria'!O81</x:f>
        <x:v>Aprovado</x:v>
      </x:c>
      <x:c r="F81" s="40" t="str">
        <x:f>IF('Auditoria'!R81="Sim","+0,5: trabalho e todas as listas","−0,5: entrega incompleta")</x:f>
        <x:v>+0,5: trabalho e todas as listas</x:v>
      </x:c>
    </x:row>
  </x:sheetData>
  <x:mergeCells>
    <x:mergeCell ref="A1:F1"/>
    <x:mergeCell ref="A2:F2"/>
    <x:mergeCell ref="A4:B4"/>
    <x:mergeCell ref="A5:B5"/>
    <x:mergeCell ref="C4:D4"/>
    <x:mergeCell ref="C5:D5"/>
    <x:mergeCell ref="E4:F4"/>
    <x:mergeCell ref="E5:F5"/>
  </x:mergeCells>
  <x:conditionalFormatting sqref="C8:C81">
    <x:cfRule type="colorScale" priority="1">
      <x:colorScale>
        <x:cfvo type="min"/>
        <x:cfvo type="percentile" val="60"/>
        <x:cfvo type="max"/>
        <x:color rgb="FFFCA5A5"/>
        <x:color rgb="FFFEF3C7"/>
        <x:color rgb="FF86EFAC"/>
      </x:colorScale>
    </x:cfRule>
  </x:conditionalFormatting>
  <x:conditionalFormatting sqref="D8:D81">
    <x:cfRule type="colorScale" priority="2">
      <x:colorScale>
        <x:cfvo type="min"/>
        <x:cfvo type="percentile" val="60"/>
        <x:cfvo type="max"/>
        <x:color rgb="FFFCA5A5"/>
        <x:color rgb="FFFEF3C7"/>
        <x:color rgb="FF86EFAC"/>
      </x:colorScale>
    </x:cfRule>
  </x:conditionalFormatting>
  <x:conditionalFormatting sqref="E8:E81">
    <x:cfRule type="containsText" dxfId="2" priority="3" operator="containsText" text="Aprovado"/>
    <x:cfRule type="containsText" dxfId="3" priority="4" operator="containsText" text="Reprovado"/>
  </x:conditionalFormatting>
  <x:pageMargins left="0.7" right="0.7" top="0.75" bottom="0.75" header="0.3" footer="0.3"/>
  <x:tableParts count="1">
    <x:tablePart xmlns:r="http://schemas.openxmlformats.org/officeDocument/2006/relationships" r:id="R855e0aac46704de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3" hidden="0" customWidth="1"/>
    <x:col min="3" max="3" width="29" hidden="0" customWidth="1"/>
    <x:col min="4" max="4" width="19" hidden="0" customWidth="1"/>
    <x:col min="5" max="5" width="9" hidden="0" customWidth="1"/>
    <x:col min="6" max="6" width="9" hidden="0" customWidth="1"/>
    <x:col min="7" max="7" width="15" hidden="0" customWidth="1"/>
    <x:col min="8" max="8" width="13" hidden="0" customWidth="1"/>
    <x:col min="9" max="9" width="12" hidden="0" customWidth="1"/>
    <x:col min="10" max="10" width="13" hidden="0" customWidth="1"/>
    <x:col min="11" max="11" width="11" hidden="0" customWidth="1"/>
    <x:col min="12" max="12" width="14" hidden="0" customWidth="1"/>
    <x:col min="13" max="13" width="15" hidden="0" customWidth="1"/>
    <x:col min="14" max="14" width="14" hidden="0" customWidth="1"/>
    <x:col min="15" max="15" width="13" hidden="0" customWidth="1"/>
    <x:col min="16" max="16" width="66" hidden="0" customWidth="1"/>
    <x:col min="17" max="17" width="14" hidden="0" customWidth="1"/>
    <x:col min="18" max="18" width="13" hidden="0" customWidth="1"/>
    <x:col min="19" max="19" width="16" hidden="0" customWidth="1"/>
  </x:cols>
  <x:sheetData>
    <x:row r="1" ht="34" customHeight="1">
      <x:c r="A1" s="3" t="str">
        <x:v>Métodos III — auditoria de notas e frequências (2026)</x:v>
      </x:c>
      <x:c r="B1" s="3" t="str">
        <x:v>Métodos III — auditoria de notas e frequências (2026)</x:v>
      </x:c>
      <x:c r="C1" s="3" t="str">
        <x:v>Métodos III — auditoria de notas e frequências (2026)</x:v>
      </x:c>
      <x:c r="D1" s="3" t="str">
        <x:v>Métodos III — auditoria de notas e frequências (2026)</x:v>
      </x:c>
      <x:c r="E1" s="3" t="str">
        <x:v>Métodos III — auditoria de notas e frequências (2026)</x:v>
      </x:c>
      <x:c r="F1" s="3" t="str">
        <x:v>Métodos III — auditoria de notas e frequências (2026)</x:v>
      </x:c>
      <x:c r="G1" s="3" t="str">
        <x:v>Métodos III — auditoria de notas e frequências (2026)</x:v>
      </x:c>
      <x:c r="H1" s="3" t="str">
        <x:v>Métodos III — auditoria de notas e frequências (2026)</x:v>
      </x:c>
      <x:c r="I1" s="3" t="str">
        <x:v>Métodos III — auditoria de notas e frequências (2026)</x:v>
      </x:c>
      <x:c r="J1" s="3" t="str">
        <x:v>Métodos III — auditoria de notas e frequências (2026)</x:v>
      </x:c>
      <x:c r="K1" s="3" t="str">
        <x:v>Métodos III — auditoria de notas e frequências (2026)</x:v>
      </x:c>
      <x:c r="L1" s="3" t="str">
        <x:v>Métodos III — auditoria de notas e frequências (2026)</x:v>
      </x:c>
      <x:c r="M1" s="3" t="str">
        <x:v>Métodos III — auditoria de notas e frequências (2026)</x:v>
      </x:c>
      <x:c r="N1" s="3" t="str">
        <x:v>Métodos III — auditoria de notas e frequências (2026)</x:v>
      </x:c>
      <x:c r="O1" s="3" t="str">
        <x:v>Métodos III — auditoria de notas e frequências (2026)</x:v>
      </x:c>
      <x:c r="P1" s="3" t="str">
        <x:v>Métodos III — auditoria de notas e frequências (2026)</x:v>
      </x:c>
      <x:c r="Q1" s="3" t="str">
        <x:v>Métodos III — auditoria de notas e frequências (2026)</x:v>
      </x:c>
      <x:c r="R1" s="3" t="str">
        <x:v>Métodos III — auditoria de notas e frequências (2026)</x:v>
      </x:c>
      <x:c r="S1" s="3" t="str">
        <x:v>Métodos III — auditoria de notas e frequências (2026)</x:v>
      </x:c>
    </x:row>
    <x:row r="2" ht="34" customHeight="1">
      <x:c r="A2" s="7" t="str">
        <x:v>A nota do trabalho já incorpora as releituras e decisões docentes anteriores. As colunas derivadas usam fórmulas; nenhuma nota ou frequência foi lançada no Moodle.</x:v>
      </x:c>
      <x:c r="B2" s="7" t="str">
        <x:v>A nota do trabalho já incorpora as releituras e decisões docentes anteriores. As colunas derivadas usam fórmulas; nenhuma nota ou frequência foi lançada no Moodle.</x:v>
      </x:c>
      <x:c r="C2" s="7" t="str">
        <x:v>A nota do trabalho já incorpora as releituras e decisões docentes anteriores. As colunas derivadas usam fórmulas; nenhuma nota ou frequência foi lançada no Moodle.</x:v>
      </x:c>
      <x:c r="D2" s="7" t="str">
        <x:v>A nota do trabalho já incorpora as releituras e decisões docentes anteriores. As colunas derivadas usam fórmulas; nenhuma nota ou frequência foi lançada no Moodle.</x:v>
      </x:c>
      <x:c r="E2" s="7" t="str">
        <x:v>A nota do trabalho já incorpora as releituras e decisões docentes anteriores. As colunas derivadas usam fórmulas; nenhuma nota ou frequência foi lançada no Moodle.</x:v>
      </x:c>
      <x:c r="F2" s="7" t="str">
        <x:v>A nota do trabalho já incorpora as releituras e decisões docentes anteriores. As colunas derivadas usam fórmulas; nenhuma nota ou frequência foi lançada no Moodle.</x:v>
      </x:c>
      <x:c r="G2" s="7" t="str">
        <x:v>A nota do trabalho já incorpora as releituras e decisões docentes anteriores. As colunas derivadas usam fórmulas; nenhuma nota ou frequência foi lançada no Moodle.</x:v>
      </x:c>
      <x:c r="H2" s="7" t="str">
        <x:v>A nota do trabalho já incorpora as releituras e decisões docentes anteriores. As colunas derivadas usam fórmulas; nenhuma nota ou frequência foi lançada no Moodle.</x:v>
      </x:c>
      <x:c r="I2" s="7" t="str">
        <x:v>A nota do trabalho já incorpora as releituras e decisões docentes anteriores. As colunas derivadas usam fórmulas; nenhuma nota ou frequência foi lançada no Moodle.</x:v>
      </x:c>
      <x:c r="J2" s="7" t="str">
        <x:v>A nota do trabalho já incorpora as releituras e decisões docentes anteriores. As colunas derivadas usam fórmulas; nenhuma nota ou frequência foi lançada no Moodle.</x:v>
      </x:c>
      <x:c r="K2" s="7" t="str">
        <x:v>A nota do trabalho já incorpora as releituras e decisões docentes anteriores. As colunas derivadas usam fórmulas; nenhuma nota ou frequência foi lançada no Moodle.</x:v>
      </x:c>
      <x:c r="L2" s="7" t="str">
        <x:v>A nota do trabalho já incorpora as releituras e decisões docentes anteriores. As colunas derivadas usam fórmulas; nenhuma nota ou frequência foi lançada no Moodle.</x:v>
      </x:c>
      <x:c r="M2" s="7" t="str">
        <x:v>A nota do trabalho já incorpora as releituras e decisões docentes anteriores. As colunas derivadas usam fórmulas; nenhuma nota ou frequência foi lançada no Moodle.</x:v>
      </x:c>
      <x:c r="N2" s="7" t="str">
        <x:v>A nota do trabalho já incorpora as releituras e decisões docentes anteriores. As colunas derivadas usam fórmulas; nenhuma nota ou frequência foi lançada no Moodle.</x:v>
      </x:c>
      <x:c r="O2" s="7" t="str">
        <x:v>A nota do trabalho já incorpora as releituras e decisões docentes anteriores. As colunas derivadas usam fórmulas; nenhuma nota ou frequência foi lançada no Moodle.</x:v>
      </x:c>
      <x:c r="P2" s="7" t="str">
        <x:v>A nota do trabalho já incorpora as releituras e decisões docentes anteriores. As colunas derivadas usam fórmulas; nenhuma nota ou frequência foi lançada no Moodle.</x:v>
      </x:c>
      <x:c r="Q2" s="7" t="str">
        <x:v>A nota do trabalho já incorpora as releituras e decisões docentes anteriores. As colunas derivadas usam fórmulas; nenhuma nota ou frequência foi lançada no Moodle.</x:v>
      </x:c>
      <x:c r="R2" s="7" t="str">
        <x:v>A nota do trabalho já incorpora as releituras e decisões docentes anteriores. As colunas derivadas usam fórmulas; nenhuma nota ou frequência foi lançada no Moodle.</x:v>
      </x:c>
      <x:c r="S2" s="7" t="str">
        <x:v>A nota do trabalho já incorpora as releituras e decisões docentes anteriores. As colunas derivadas usam fórmulas; nenhuma nota ou frequência foi lançada no Moodle.</x:v>
      </x:c>
    </x:row>
    <x:row r="7" ht="32" customHeight="1">
      <x:c r="A7" s="19" t="str">
        <x:v>Nome</x:v>
      </x:c>
      <x:c r="B7" s="20" t="str">
        <x:v>NUSP</x:v>
      </x:c>
      <x:c r="C7" s="20" t="str">
        <x:v>E-mail</x:v>
      </x:c>
      <x:c r="D7" s="20" t="str">
        <x:v>Fonte do trabalho</x:v>
      </x:c>
      <x:c r="E7" s="20" t="str">
        <x:v>Lista 1</x:v>
      </x:c>
      <x:c r="F7" s="20" t="str">
        <x:v>Lista 2</x:v>
      </x:c>
      <x:c r="G7" s="20" t="str">
        <x:v>Nota do trabalho adotada</x:v>
      </x:c>
      <x:c r="H7" s="20" t="str">
        <x:v>Todas as listas?</x:v>
      </x:c>
      <x:c r="I7" s="20" t="str">
        <x:v>Alguma lista?</x:v>
      </x:c>
      <x:c r="J7" s="20" t="str">
        <x:v>Ajuste das listas</x:v>
      </x:c>
      <x:c r="K7" s="20" t="str">
        <x:v>Nota final</x:v>
      </x:c>
      <x:c r="L7" s="20" t="str">
        <x:v>Frequência base</x:v>
      </x:c>
      <x:c r="M7" s="20" t="str">
        <x:v>Desconto por lista (p.p.)</x:v>
      </x:c>
      <x:c r="N7" s="20" t="str">
        <x:v>Frequência final</x:v>
      </x:c>
      <x:c r="O7" s="20" t="str">
        <x:v>Resultado</x:v>
      </x:c>
      <x:c r="P7" s="20" t="str">
        <x:v>Avaliação do trabalho</x:v>
      </x:c>
      <x:c r="Q7" s="20" t="str">
        <x:v>Trabalho entregue?</x:v>
      </x:c>
      <x:c r="R7" s="20" t="str">
        <x:v>Entregou tudo?</x:v>
      </x:c>
      <x:c r="S7" s="21" t="str">
        <x:v>Penalidade de IA já incorporada</x:v>
      </x:c>
    </x:row>
    <x:row r="8" ht="40" customHeight="1">
      <x:c r="A8" s="27" t="str">
        <x:v>Agnes Francisca Carraro Kunsch</x:v>
      </x:c>
      <x:c r="B8" s="29" t="str">
        <x:v>14554690</x:v>
      </x:c>
      <x:c r="C8" s="25" t="str">
        <x:v>agneskunsch@usp.br</x:v>
      </x:c>
      <x:c r="D8" s="37" t="str">
        <x:v>Moodle</x:v>
      </x:c>
      <x:c r="E8" s="33" t="n">
        <x:v>10</x:v>
      </x:c>
      <x:c r="F8" s="33" t="n">
        <x:v>10</x:v>
      </x:c>
      <x:c r="G8" s="33" t="n">
        <x:v>9</x:v>
      </x:c>
      <x:c r="H8" s="37" t="str">
        <x:f>IF(AND(E8=10,F8=10),"Sim","Não")</x:f>
        <x:v>Sim</x:v>
      </x:c>
      <x:c r="I8" s="37" t="str">
        <x:f>IF(OR(E8=10,F8=10),"Sim","Não")</x:f>
        <x:v>Sim</x:v>
      </x:c>
      <x:c r="J8" s="33" t="n">
        <x:f>IF(R8="Sim",0.5,-0.5)</x:f>
        <x:v>0.5</x:v>
      </x:c>
      <x:c r="K8" s="33" t="n">
        <x:f>MAX(0,MIN(10,G8+J8))</x:f>
        <x:v>9.5</x:v>
      </x:c>
      <x:c r="L8" s="33" t="n">
        <x:f>IF(Q8="Sim",85+0.5*K8,"")</x:f>
        <x:v>89.75</x:v>
      </x:c>
      <x:c r="M8" s="33" t="n">
        <x:f>IF(AND(Q8="Sim",H8="Não"),10,0)</x:f>
        <x:v>0</x:v>
      </x:c>
      <x:c r="N8" s="33" t="n">
        <x:f>ROUND(IF(Q8="Não",IF(I8="Não",0,50),MAX(IF(K8&gt;=5,75,0),L8-M8)),1)</x:f>
        <x:v>89.8</x:v>
      </x:c>
      <x:c r="O8" s="37" t="str">
        <x:f>IF(AND(K8&gt;=5,N8&gt;=75),"Aprovado","Reprovado")</x:f>
        <x:v>Aprovado</x:v>
      </x:c>
      <x:c r="P8" s="39" t="str">
        <x:v>Conteúdo substantivo correto e completo; perde em reprodutibilidade/apresentação porque o PDF tem 206 páginas de impressão da base e a limpeza foi feita parcialmente no Excel.</x:v>
      </x:c>
      <x:c r="Q8" s="37" t="str">
        <x:f>IF(D8="Sem envio","Não","Sim")</x:f>
        <x:v>Sim</x:v>
      </x:c>
      <x:c r="R8" s="37" t="str">
        <x:f>IF(AND(Q8="Sim",H8="Sim"),"Sim","Não")</x:f>
        <x:v>Sim</x:v>
      </x:c>
      <x:c r="S8" s="31" t="n">
        <x:v>0</x:v>
      </x:c>
    </x:row>
    <x:row r="9" ht="40" customHeight="1">
      <x:c r="A9" s="28" t="str">
        <x:v>Andre Beraldo Calia</x:v>
      </x:c>
      <x:c r="B9" s="30" t="str">
        <x:v>15439907</x:v>
      </x:c>
      <x:c r="C9" s="26" t="str">
        <x:v>andre.calia@usp.br</x:v>
      </x:c>
      <x:c r="D9" s="38" t="str">
        <x:v>Moodle</x:v>
      </x:c>
      <x:c r="E9" s="35" t="n">
        <x:v>10</x:v>
      </x:c>
      <x:c r="F9" s="35" t="n">
        <x:v>10</x:v>
      </x:c>
      <x:c r="G9" s="35" t="n">
        <x:v>9</x:v>
      </x:c>
      <x:c r="H9" s="38" t="str">
        <x:f>IF(AND(E9=10,F9=10),"Sim","Não")</x:f>
        <x:v>Sim</x:v>
      </x:c>
      <x:c r="I9" s="38" t="str">
        <x:f>IF(OR(E9=10,F9=10),"Sim","Não")</x:f>
        <x:v>Sim</x:v>
      </x:c>
      <x:c r="J9" s="35" t="n">
        <x:f>IF(R9="Sim",0.5,-0.5)</x:f>
        <x:v>0.5</x:v>
      </x:c>
      <x:c r="K9" s="35" t="n">
        <x:f>MAX(0,MIN(10,G9+J9))</x:f>
        <x:v>9.5</x:v>
      </x:c>
      <x:c r="L9" s="35" t="n">
        <x:f>IF(Q9="Sim",85+0.5*K9,"")</x:f>
        <x:v>89.75</x:v>
      </x:c>
      <x:c r="M9" s="35" t="n">
        <x:f>IF(AND(Q9="Sim",H9="Não"),10,0)</x:f>
        <x:v>0</x:v>
      </x:c>
      <x:c r="N9" s="35" t="n">
        <x:f>ROUND(IF(Q9="Não",IF(I9="Não",0,50),MAX(IF(K9&gt;=5,75,0),L9-M9)),1)</x:f>
        <x:v>89.8</x:v>
      </x:c>
      <x:c r="O9" s="38" t="str">
        <x:f>IF(AND(K9&gt;=5,N9&gt;=75),"Aprovado","Reprovado")</x:f>
        <x:v>Aprovado</x:v>
      </x:c>
      <x:c r="P9" s="40" t="str">
        <x:v>Análise completa, com variante aceitável do teste de proporções; resultados e conclusões substantivas são coerentes.</x:v>
      </x:c>
      <x:c r="Q9" s="38" t="str">
        <x:f>IF(D9="Sem envio","Não","Sim")</x:f>
        <x:v>Sim</x:v>
      </x:c>
      <x:c r="R9" s="38" t="str">
        <x:f>IF(AND(Q9="Sim",H9="Sim"),"Sim","Não")</x:f>
        <x:v>Sim</x:v>
      </x:c>
      <x:c r="S9" s="32" t="n">
        <x:v>0</x:v>
      </x:c>
    </x:row>
    <x:row r="10" ht="40" customHeight="1">
      <x:c r="A10" s="28" t="str">
        <x:v>Andre Praça Susemihl</x:v>
      </x:c>
      <x:c r="B10" s="30" t="str">
        <x:v>15510702</x:v>
      </x:c>
      <x:c r="C10" s="26" t="str">
        <x:v>andrepraca@usp.br</x:v>
      </x:c>
      <x:c r="D10" s="38" t="str">
        <x:v>Moodle</x:v>
      </x:c>
      <x:c r="E10" s="35" t="n">
        <x:v>10</x:v>
      </x:c>
      <x:c r="F10" s="35" t="n">
        <x:v>10</x:v>
      </x:c>
      <x:c r="G10" s="35" t="n">
        <x:v>7.2</x:v>
      </x:c>
      <x:c r="H10" s="38" t="str">
        <x:f>IF(AND(E10=10,F10=10),"Sim","Não")</x:f>
        <x:v>Sim</x:v>
      </x:c>
      <x:c r="I10" s="38" t="str">
        <x:f>IF(OR(E10=10,F10=10),"Sim","Não")</x:f>
        <x:v>Sim</x:v>
      </x:c>
      <x:c r="J10" s="35" t="n">
        <x:f>IF(R10="Sim",0.5,-0.5)</x:f>
        <x:v>0.5</x:v>
      </x:c>
      <x:c r="K10" s="35" t="n">
        <x:f>MAX(0,MIN(10,G10+J10))</x:f>
        <x:v>7.7</x:v>
      </x:c>
      <x:c r="L10" s="35" t="n">
        <x:f>IF(Q10="Sim",85+0.5*K10,"")</x:f>
        <x:v>88.85</x:v>
      </x:c>
      <x:c r="M10" s="35" t="n">
        <x:f>IF(AND(Q10="Sim",H10="Não"),10,0)</x:f>
        <x:v>0</x:v>
      </x:c>
      <x:c r="N10" s="35" t="n">
        <x:f>ROUND(IF(Q10="Não",IF(I10="Não",0,50),MAX(IF(K10&gt;=5,75,0),L10-M10)),1)</x:f>
        <x:v>88.9</x:v>
      </x:c>
      <x:c r="O10" s="38" t="str">
        <x:f>IF(AND(K10&gt;=5,N10&gt;=75),"Aprovado","Reprovado")</x:f>
        <x:v>Aprovado</x:v>
      </x:c>
      <x:c r="P10" s="40" t="str">
        <x:v>Estrutura completa e segundo teste correto, mas usa denominadores inadequados no primeiro estimando, obtendo p-valor 0,00392 e conclusão incorreta.</x:v>
      </x:c>
      <x:c r="Q10" s="38" t="str">
        <x:f>IF(D10="Sem envio","Não","Sim")</x:f>
        <x:v>Sim</x:v>
      </x:c>
      <x:c r="R10" s="38" t="str">
        <x:f>IF(AND(Q10="Sim",H10="Sim"),"Sim","Não")</x:f>
        <x:v>Sim</x:v>
      </x:c>
      <x:c r="S10" s="32" t="n">
        <x:v>0</x:v>
      </x:c>
    </x:row>
    <x:row r="11" ht="40" customHeight="1">
      <x:c r="A11" s="28" t="str">
        <x:v>Andre Raposo Santos</x:v>
      </x:c>
      <x:c r="B11" s="30" t="str">
        <x:v>15652600</x:v>
      </x:c>
      <x:c r="C11" s="26" t="str">
        <x:v>and.raposo@usp.br</x:v>
      </x:c>
      <x:c r="D11" s="38" t="str">
        <x:v>Sem envio</x:v>
      </x:c>
      <x:c r="E11" s="35" t="n">
        <x:v>0</x:v>
      </x:c>
      <x:c r="F11" s="35" t="n">
        <x:v>0</x:v>
      </x:c>
      <x:c r="G11" s="35" t="n">
        <x:v>0</x:v>
      </x:c>
      <x:c r="H11" s="38" t="str">
        <x:f>IF(AND(E11=10,F11=10),"Sim","Não")</x:f>
        <x:v>Não</x:v>
      </x:c>
      <x:c r="I11" s="38" t="str">
        <x:f>IF(OR(E11=10,F11=10),"Sim","Não")</x:f>
        <x:v>Não</x:v>
      </x:c>
      <x:c r="J11" s="35" t="n">
        <x:f>IF(R11="Sim",0.5,-0.5)</x:f>
        <x:v>-0.5</x:v>
      </x:c>
      <x:c r="K11" s="35" t="n">
        <x:f>MAX(0,MIN(10,G11+J11))</x:f>
        <x:v>0</x:v>
      </x:c>
      <x:c r="L11" s="35" t="str">
        <x:f>IF(Q11="Sim",85+0.5*K11,"")</x:f>
      </x:c>
      <x:c r="M11" s="35" t="n">
        <x:f>IF(AND(Q11="Sim",H11="Não"),10,0)</x:f>
        <x:v>0</x:v>
      </x:c>
      <x:c r="N11" s="35" t="n">
        <x:f>ROUND(IF(Q11="Não",IF(I11="Não",0,50),MAX(IF(K11&gt;=5,75,0),L11-M11)),1)</x:f>
        <x:v>0</x:v>
      </x:c>
      <x:c r="O11" s="38" t="str">
        <x:f>IF(AND(K11&gt;=5,N11&gt;=75),"Aprovado","Reprovado")</x:f>
        <x:v>Reprovado</x:v>
      </x:c>
      <x:c r="P11" s="40" t="str">
        <x:v>Nenhum envio localizado no Moodle nem entre as entregas excepcionais por e-mail.</x:v>
      </x:c>
      <x:c r="Q11" s="38" t="str">
        <x:f>IF(D11="Sem envio","Não","Sim")</x:f>
        <x:v>Não</x:v>
      </x:c>
      <x:c r="R11" s="38" t="str">
        <x:f>IF(AND(Q11="Sim",H11="Sim"),"Sim","Não")</x:f>
        <x:v>Não</x:v>
      </x:c>
      <x:c r="S11" s="32" t="n">
        <x:v>0</x:v>
      </x:c>
    </x:row>
    <x:row r="12" ht="40" customHeight="1">
      <x:c r="A12" s="28" t="str">
        <x:v>Anne Louise Dias Ferreira</x:v>
      </x:c>
      <x:c r="B12" s="30" t="str">
        <x:v>14558926</x:v>
      </x:c>
      <x:c r="C12" s="26" t="str">
        <x:v>annelouisedias@usp.br</x:v>
      </x:c>
      <x:c r="D12" s="38" t="str">
        <x:v>Moodle</x:v>
      </x:c>
      <x:c r="E12" s="35" t="n">
        <x:v>10</x:v>
      </x:c>
      <x:c r="F12" s="35" t="n">
        <x:v>10</x:v>
      </x:c>
      <x:c r="G12" s="35" t="n">
        <x:v>9.2</x:v>
      </x:c>
      <x:c r="H12" s="38" t="str">
        <x:f>IF(AND(E12=10,F12=10),"Sim","Não")</x:f>
        <x:v>Sim</x:v>
      </x:c>
      <x:c r="I12" s="38" t="str">
        <x:f>IF(OR(E12=10,F12=10),"Sim","Não")</x:f>
        <x:v>Sim</x:v>
      </x:c>
      <x:c r="J12" s="35" t="n">
        <x:f>IF(R12="Sim",0.5,-0.5)</x:f>
        <x:v>0.5</x:v>
      </x:c>
      <x:c r="K12" s="35" t="n">
        <x:f>MAX(0,MIN(10,G12+J12))</x:f>
        <x:v>9.7</x:v>
      </x:c>
      <x:c r="L12" s="35" t="n">
        <x:f>IF(Q12="Sim",85+0.5*K12,"")</x:f>
        <x:v>89.85</x:v>
      </x:c>
      <x:c r="M12" s="35" t="n">
        <x:f>IF(AND(Q12="Sim",H12="Não"),10,0)</x:f>
        <x:v>0</x:v>
      </x:c>
      <x:c r="N12" s="35" t="n">
        <x:f>ROUND(IF(Q12="Não",IF(I12="Não",0,50),MAX(IF(K12&gt;=5,75,0),L12-M12)),1)</x:f>
        <x:v>89.9</x:v>
      </x:c>
      <x:c r="O12" s="38" t="str">
        <x:f>IF(AND(K12&gt;=5,N12&gt;=75),"Aprovado","Reprovado")</x:f>
        <x:v>Aprovado</x:v>
      </x:c>
      <x:c r="P12" s="40" t="str">
        <x:v>Trabalho completo e bem interpretado; pequenas diferenças numéricas decorrem da implementação escolhida para o teste.</x:v>
      </x:c>
      <x:c r="Q12" s="38" t="str">
        <x:f>IF(D12="Sem envio","Não","Sim")</x:f>
        <x:v>Sim</x:v>
      </x:c>
      <x:c r="R12" s="38" t="str">
        <x:f>IF(AND(Q12="Sim",H12="Sim"),"Sim","Não")</x:f>
        <x:v>Sim</x:v>
      </x:c>
      <x:c r="S12" s="32" t="n">
        <x:v>0</x:v>
      </x:c>
    </x:row>
    <x:row r="13" ht="150" customHeight="1">
      <x:c r="A13" s="28" t="str">
        <x:v>Beatriz Pessoni</x:v>
      </x:c>
      <x:c r="B13" s="30" t="str">
        <x:v>15442662</x:v>
      </x:c>
      <x:c r="C13" s="26" t="str">
        <x:v>beatriz.pessoni@usp.br</x:v>
      </x:c>
      <x:c r="D13" s="38" t="str">
        <x:v>Moodle</x:v>
      </x:c>
      <x:c r="E13" s="35" t="n">
        <x:v>10</x:v>
      </x:c>
      <x:c r="F13" s="35" t="n">
        <x:v>10</x:v>
      </x:c>
      <x:c r="G13" s="35" t="n">
        <x:v>6.8</x:v>
      </x:c>
      <x:c r="H13" s="38" t="str">
        <x:f>IF(AND(E13=10,F13=10),"Sim","Não")</x:f>
        <x:v>Sim</x:v>
      </x:c>
      <x:c r="I13" s="38" t="str">
        <x:f>IF(OR(E13=10,F13=10),"Sim","Não")</x:f>
        <x:v>Sim</x:v>
      </x:c>
      <x:c r="J13" s="35" t="n">
        <x:f>IF(R13="Sim",0.5,-0.5)</x:f>
        <x:v>0.5</x:v>
      </x:c>
      <x:c r="K13" s="35" t="n">
        <x:f>MAX(0,MIN(10,G13+J13))</x:f>
        <x:v>7.3</x:v>
      </x:c>
      <x:c r="L13" s="35" t="n">
        <x:f>IF(Q13="Sim",85+0.5*K13,"")</x:f>
        <x:v>88.65</x:v>
      </x:c>
      <x:c r="M13" s="35" t="n">
        <x:f>IF(AND(Q13="Sim",H13="Não"),10,0)</x:f>
        <x:v>0</x:v>
      </x:c>
      <x:c r="N13" s="35" t="n">
        <x:f>ROUND(IF(Q13="Não",IF(I13="Não",0,50),MAX(IF(K13&gt;=5,75,0),L13-M13)),1)</x:f>
        <x:v>88.7</x:v>
      </x:c>
      <x:c r="O13" s="38" t="str">
        <x:f>IF(AND(K13&gt;=5,N13&gt;=75),"Aprovado","Reprovado")</x:f>
        <x:v>Aprovado</x:v>
      </x:c>
      <x:c r="P13" s="40" t="str">
        <x:v>Nota final 6,8 após desconto docente de 1,5 ponto por suspeita não comprovada de assistência por IA (releitura independente: 8,3). O trabalho identifica corretamente comparação e unidade, informa 1.038 × 26 e inspeciona categorias inválidas. A validação trata "NA" como categoria; depois corrige exp_adm e exp_car, mas não os 95 códigos de instr nem verifica os 17 ausentes de car_pub. A tabela recupera MAPA 482/524 e MinC 312/354, com intervalos de Wilson, mas a narrativa informa 88,03% e limites diferentes. O primeiro teste usa incorretamente 309/351 no MinC, contradizendo a tabela; p = 0,0519 ainda leva à não rejeição a 5%. A recodificação de alto_nivel e o teste 2 estão corretos: 187/525, 155/365 e p = 0,0389. As decisões a 10% e 1% também estão corretas. A questão amostral acerta a direção, mas não mostra 1/√2 e chama 1.025 de dobro de 525. O código não é autocontido: dados2 e exp_admin não são definidos e o caminho é local absoluto.</x:v>
      </x:c>
      <x:c r="Q13" s="38" t="str">
        <x:f>IF(D13="Sem envio","Não","Sim")</x:f>
        <x:v>Sim</x:v>
      </x:c>
      <x:c r="R13" s="38" t="str">
        <x:f>IF(AND(Q13="Sim",H13="Sim"),"Sim","Não")</x:f>
        <x:v>Sim</x:v>
      </x:c>
      <x:c r="S13" s="32" t="n">
        <x:v>1.5</x:v>
      </x:c>
    </x:row>
    <x:row r="14" ht="40" customHeight="1">
      <x:c r="A14" s="28" t="str">
        <x:v>Beatriz Ribeiro Galli Ferreira</x:v>
      </x:c>
      <x:c r="B14" s="30" t="str">
        <x:v>11760430</x:v>
      </x:c>
      <x:c r="C14" s="26" t="str">
        <x:v>biargferreira@usp.br</x:v>
      </x:c>
      <x:c r="D14" s="38" t="str">
        <x:v>Moodle</x:v>
      </x:c>
      <x:c r="E14" s="35" t="n">
        <x:v>10</x:v>
      </x:c>
      <x:c r="F14" s="35" t="n">
        <x:v>10</x:v>
      </x:c>
      <x:c r="G14" s="35" t="n">
        <x:v>7.8</x:v>
      </x:c>
      <x:c r="H14" s="38" t="str">
        <x:f>IF(AND(E14=10,F14=10),"Sim","Não")</x:f>
        <x:v>Sim</x:v>
      </x:c>
      <x:c r="I14" s="38" t="str">
        <x:f>IF(OR(E14=10,F14=10),"Sim","Não")</x:f>
        <x:v>Sim</x:v>
      </x:c>
      <x:c r="J14" s="35" t="n">
        <x:f>IF(R14="Sim",0.5,-0.5)</x:f>
        <x:v>0.5</x:v>
      </x:c>
      <x:c r="K14" s="35" t="n">
        <x:f>MAX(0,MIN(10,G14+J14))</x:f>
        <x:v>8.3</x:v>
      </x:c>
      <x:c r="L14" s="35" t="n">
        <x:f>IF(Q14="Sim",85+0.5*K14,"")</x:f>
        <x:v>89.15</x:v>
      </x:c>
      <x:c r="M14" s="35" t="n">
        <x:f>IF(AND(Q14="Sim",H14="Não"),10,0)</x:f>
        <x:v>0</x:v>
      </x:c>
      <x:c r="N14" s="35" t="n">
        <x:f>ROUND(IF(Q14="Não",IF(I14="Não",0,50),MAX(IF(K14&gt;=5,75,0),L14-M14)),1)</x:f>
        <x:v>89.2</x:v>
      </x:c>
      <x:c r="O14" s="38" t="str">
        <x:f>IF(AND(K14&gt;=5,N14&gt;=75),"Aprovado","Reprovado")</x:f>
        <x:v>Aprovado</x:v>
      </x:c>
      <x:c r="P14" s="40" t="str">
        <x:v>Combina exp_adm com exp_car, alterando o estimando, e recodifica exp_car de modo inadequado; os resultados ficam próximos e o segundo teste está correto.</x:v>
      </x:c>
      <x:c r="Q14" s="38" t="str">
        <x:f>IF(D14="Sem envio","Não","Sim")</x:f>
        <x:v>Sim</x:v>
      </x:c>
      <x:c r="R14" s="38" t="str">
        <x:f>IF(AND(Q14="Sim",H14="Sim"),"Sim","Não")</x:f>
        <x:v>Sim</x:v>
      </x:c>
      <x:c r="S14" s="32" t="n">
        <x:v>0</x:v>
      </x:c>
    </x:row>
    <x:row r="15" ht="40" customHeight="1">
      <x:c r="A15" s="28" t="str">
        <x:v>Bruno da Silva</x:v>
      </x:c>
      <x:c r="B15" s="30" t="str">
        <x:v>9875681</x:v>
      </x:c>
      <x:c r="C15" s="26" t="str">
        <x:v>bruno8.silva@usp.br</x:v>
      </x:c>
      <x:c r="D15" s="38" t="str">
        <x:v>Sem envio</x:v>
      </x:c>
      <x:c r="E15" s="35" t="n">
        <x:v>0</x:v>
      </x:c>
      <x:c r="F15" s="35" t="n">
        <x:v>0</x:v>
      </x:c>
      <x:c r="G15" s="35" t="n">
        <x:v>0</x:v>
      </x:c>
      <x:c r="H15" s="38" t="str">
        <x:f>IF(AND(E15=10,F15=10),"Sim","Não")</x:f>
        <x:v>Não</x:v>
      </x:c>
      <x:c r="I15" s="38" t="str">
        <x:f>IF(OR(E15=10,F15=10),"Sim","Não")</x:f>
        <x:v>Não</x:v>
      </x:c>
      <x:c r="J15" s="35" t="n">
        <x:f>IF(R15="Sim",0.5,-0.5)</x:f>
        <x:v>-0.5</x:v>
      </x:c>
      <x:c r="K15" s="35" t="n">
        <x:f>MAX(0,MIN(10,G15+J15))</x:f>
        <x:v>0</x:v>
      </x:c>
      <x:c r="L15" s="35" t="str">
        <x:f>IF(Q15="Sim",85+0.5*K15,"")</x:f>
      </x:c>
      <x:c r="M15" s="35" t="n">
        <x:f>IF(AND(Q15="Sim",H15="Não"),10,0)</x:f>
        <x:v>0</x:v>
      </x:c>
      <x:c r="N15" s="35" t="n">
        <x:f>ROUND(IF(Q15="Não",IF(I15="Não",0,50),MAX(IF(K15&gt;=5,75,0),L15-M15)),1)</x:f>
        <x:v>0</x:v>
      </x:c>
      <x:c r="O15" s="38" t="str">
        <x:f>IF(AND(K15&gt;=5,N15&gt;=75),"Aprovado","Reprovado")</x:f>
        <x:v>Reprovado</x:v>
      </x:c>
      <x:c r="P15" s="40" t="str">
        <x:v>Nenhum envio localizado no Moodle nem entre as entregas excepcionais por e-mail.</x:v>
      </x:c>
      <x:c r="Q15" s="38" t="str">
        <x:f>IF(D15="Sem envio","Não","Sim")</x:f>
        <x:v>Não</x:v>
      </x:c>
      <x:c r="R15" s="38" t="str">
        <x:f>IF(AND(Q15="Sim",H15="Sim"),"Sim","Não")</x:f>
        <x:v>Não</x:v>
      </x:c>
      <x:c r="S15" s="32" t="n">
        <x:v>0</x:v>
      </x:c>
    </x:row>
    <x:row r="16" ht="40" customHeight="1">
      <x:c r="A16" s="28" t="str">
        <x:v>Caio Felicio Razera</x:v>
      </x:c>
      <x:c r="B16" s="30" t="str">
        <x:v>14562914</x:v>
      </x:c>
      <x:c r="C16" s="26" t="str">
        <x:v>felicio.caio@usp.br</x:v>
      </x:c>
      <x:c r="D16" s="38" t="str">
        <x:v>Moodle</x:v>
      </x:c>
      <x:c r="E16" s="35" t="n">
        <x:v>10</x:v>
      </x:c>
      <x:c r="F16" s="35" t="n">
        <x:v>10</x:v>
      </x:c>
      <x:c r="G16" s="35" t="n">
        <x:v>8.5</x:v>
      </x:c>
      <x:c r="H16" s="38" t="str">
        <x:f>IF(AND(E16=10,F16=10),"Sim","Não")</x:f>
        <x:v>Sim</x:v>
      </x:c>
      <x:c r="I16" s="38" t="str">
        <x:f>IF(OR(E16=10,F16=10),"Sim","Não")</x:f>
        <x:v>Sim</x:v>
      </x:c>
      <x:c r="J16" s="35" t="n">
        <x:f>IF(R16="Sim",0.5,-0.5)</x:f>
        <x:v>0.5</x:v>
      </x:c>
      <x:c r="K16" s="35" t="n">
        <x:f>MAX(0,MIN(10,G16+J16))</x:f>
        <x:v>9</x:v>
      </x:c>
      <x:c r="L16" s="35" t="n">
        <x:f>IF(Q16="Sim",85+0.5*K16,"")</x:f>
        <x:v>89.5</x:v>
      </x:c>
      <x:c r="M16" s="35" t="n">
        <x:f>IF(AND(Q16="Sim",H16="Não"),10,0)</x:f>
        <x:v>0</x:v>
      </x:c>
      <x:c r="N16" s="35" t="n">
        <x:f>ROUND(IF(Q16="Não",IF(I16="Não",0,50),MAX(IF(K16&gt;=5,75,0),L16-M16)),1)</x:f>
        <x:v>89.5</x:v>
      </x:c>
      <x:c r="O16" s="38" t="str">
        <x:f>IF(AND(K16&gt;=5,N16&gt;=75),"Aprovado","Reprovado")</x:f>
        <x:v>Aprovado</x:v>
      </x:c>
      <x:c r="P16" s="40" t="str">
        <x:v>Boa cobertura e interpretação; pequenas inconsistências na limpeza e em denominadores reduzem a precisão dos resultados.</x:v>
      </x:c>
      <x:c r="Q16" s="38" t="str">
        <x:f>IF(D16="Sem envio","Não","Sim")</x:f>
        <x:v>Sim</x:v>
      </x:c>
      <x:c r="R16" s="38" t="str">
        <x:f>IF(AND(Q16="Sim",H16="Sim"),"Sim","Não")</x:f>
        <x:v>Sim</x:v>
      </x:c>
      <x:c r="S16" s="32" t="n">
        <x:v>0</x:v>
      </x:c>
    </x:row>
    <x:row r="17" ht="164" customHeight="1">
      <x:c r="A17" s="28" t="str">
        <x:v>Carlos Alberto Vergara</x:v>
      </x:c>
      <x:c r="B17" s="30" t="str">
        <x:v>3464981</x:v>
      </x:c>
      <x:c r="C17" s="26" t="str">
        <x:v>cavergara@usp.br</x:v>
      </x:c>
      <x:c r="D17" s="38" t="str">
        <x:v>Moodle</x:v>
      </x:c>
      <x:c r="E17" s="35" t="n">
        <x:v>10</x:v>
      </x:c>
      <x:c r="F17" s="35" t="n">
        <x:v>10</x:v>
      </x:c>
      <x:c r="G17" s="35" t="n">
        <x:v>6.3</x:v>
      </x:c>
      <x:c r="H17" s="38" t="str">
        <x:f>IF(AND(E17=10,F17=10),"Sim","Não")</x:f>
        <x:v>Sim</x:v>
      </x:c>
      <x:c r="I17" s="38" t="str">
        <x:f>IF(OR(E17=10,F17=10),"Sim","Não")</x:f>
        <x:v>Sim</x:v>
      </x:c>
      <x:c r="J17" s="35" t="n">
        <x:f>IF(R17="Sim",0.5,-0.5)</x:f>
        <x:v>0.5</x:v>
      </x:c>
      <x:c r="K17" s="35" t="n">
        <x:f>MAX(0,MIN(10,G17+J17))</x:f>
        <x:v>6.8</x:v>
      </x:c>
      <x:c r="L17" s="35" t="n">
        <x:f>IF(Q17="Sim",85+0.5*K17,"")</x:f>
        <x:v>88.4</x:v>
      </x:c>
      <x:c r="M17" s="35" t="n">
        <x:f>IF(AND(Q17="Sim",H17="Não"),10,0)</x:f>
        <x:v>0</x:v>
      </x:c>
      <x:c r="N17" s="35" t="n">
        <x:f>ROUND(IF(Q17="Não",IF(I17="Não",0,50),MAX(IF(K17&gt;=5,75,0),L17-M17)),1)</x:f>
        <x:v>88.4</x:v>
      </x:c>
      <x:c r="O17" s="38" t="str">
        <x:f>IF(AND(K17&gt;=5,N17&gt;=75),"Aprovado","Reprovado")</x:f>
        <x:v>Aprovado</x:v>
      </x:c>
      <x:c r="P17" s="40" t="str">
        <x:v>Nota adotada após releitura independente cega: 6,3. O relatório identifica corretamente artigo, MAPA/MinC e unidade, e documenta 1.038 × 26. A validação confunde NA textual com NA real: informa exp_adm = 0, exp_car = 1 e instr = 0, omite car_pub e não corrige adequadamente os códigos  1  e 3. A descritiva de exp_adm usa MAPA 482/525, em vez de 482/524, e MinC 309/365, em vez de 312/354. O primeiro teste estima 7,15 pontos percentuais e p = 0,0014; além do cálculo contaminado, afirma que 0,0014 é maior que 0,05 e decide não rejeitar, uma contradição central. Em contraste, alto_nivel é construído corretamente: 187/525 no MAPA, 155/365 no MinC, diferença de −6,85 pontos percentuais e p = 0,0395, com decisão correta a 5%; somente a conclusão final inverte a direção ao dizer que o MAPA tem proporção maior. A discussão dos níveis é correta para o teste 2, mas contraditória no teste 1. A seção de amostra duplicada acerta a divisão por √2 e a redução de 29,3%. O relatório é legível, numerado e inclui código e fonte.</x:v>
      </x:c>
      <x:c r="Q17" s="38" t="str">
        <x:f>IF(D17="Sem envio","Não","Sim")</x:f>
        <x:v>Sim</x:v>
      </x:c>
      <x:c r="R17" s="38" t="str">
        <x:f>IF(AND(Q17="Sim",H17="Sim"),"Sim","Não")</x:f>
        <x:v>Sim</x:v>
      </x:c>
      <x:c r="S17" s="32" t="n">
        <x:v>0</x:v>
      </x:c>
    </x:row>
    <x:row r="18" ht="40" customHeight="1">
      <x:c r="A18" s="28" t="str">
        <x:v>Carmen Maria Serrano dos Santos</x:v>
      </x:c>
      <x:c r="B18" s="30" t="str">
        <x:v>15445370</x:v>
      </x:c>
      <x:c r="C18" s="26" t="str">
        <x:v>carmen.maria@usp.br</x:v>
      </x:c>
      <x:c r="D18" s="38" t="str">
        <x:v>E-mail</x:v>
      </x:c>
      <x:c r="E18" s="35" t="n">
        <x:v>10</x:v>
      </x:c>
      <x:c r="F18" s="35" t="n">
        <x:v>10</x:v>
      </x:c>
      <x:c r="G18" s="35" t="n">
        <x:v>9.7</x:v>
      </x:c>
      <x:c r="H18" s="38" t="str">
        <x:f>IF(AND(E18=10,F18=10),"Sim","Não")</x:f>
        <x:v>Sim</x:v>
      </x:c>
      <x:c r="I18" s="38" t="str">
        <x:f>IF(OR(E18=10,F18=10),"Sim","Não")</x:f>
        <x:v>Sim</x:v>
      </x:c>
      <x:c r="J18" s="35" t="n">
        <x:f>IF(R18="Sim",0.5,-0.5)</x:f>
        <x:v>0.5</x:v>
      </x:c>
      <x:c r="K18" s="35" t="n">
        <x:f>MAX(0,MIN(10,G18+J18))</x:f>
        <x:v>10</x:v>
      </x:c>
      <x:c r="L18" s="35" t="n">
        <x:f>IF(Q18="Sim",85+0.5*K18,"")</x:f>
        <x:v>90</x:v>
      </x:c>
      <x:c r="M18" s="35" t="n">
        <x:f>IF(AND(Q18="Sim",H18="Não"),10,0)</x:f>
        <x:v>0</x:v>
      </x:c>
      <x:c r="N18" s="35" t="n">
        <x:f>ROUND(IF(Q18="Não",IF(I18="Não",0,50),MAX(IF(K18&gt;=5,75,0),L18-M18)),1)</x:f>
        <x:v>90</x:v>
      </x:c>
      <x:c r="O18" s="38" t="str">
        <x:f>IF(AND(K18&gt;=5,N18&gt;=75),"Aprovado","Reprovado")</x:f>
        <x:v>Aprovado</x:v>
      </x:c>
      <x:c r="P18" s="40" t="str">
        <x:v>Trabalho completo, correto e reprodutível; pequena inconsistência de exibição na tabela de ausentes, sem afetar a análise.</x:v>
      </x:c>
      <x:c r="Q18" s="38" t="str">
        <x:f>IF(D18="Sem envio","Não","Sim")</x:f>
        <x:v>Sim</x:v>
      </x:c>
      <x:c r="R18" s="38" t="str">
        <x:f>IF(AND(Q18="Sim",H18="Sim"),"Sim","Não")</x:f>
        <x:v>Sim</x:v>
      </x:c>
      <x:c r="S18" s="32" t="n">
        <x:v>0</x:v>
      </x:c>
    </x:row>
    <x:row r="19" ht="40" customHeight="1">
      <x:c r="A19" s="28" t="str">
        <x:v>Caua Vigiani Cavaliere</x:v>
      </x:c>
      <x:c r="B19" s="30" t="str">
        <x:v>15573943</x:v>
      </x:c>
      <x:c r="C19" s="26" t="str">
        <x:v>caua.vigiani@usp.br</x:v>
      </x:c>
      <x:c r="D19" s="38" t="str">
        <x:v>Sem envio</x:v>
      </x:c>
      <x:c r="E19" s="35" t="n">
        <x:v>10</x:v>
      </x:c>
      <x:c r="F19" s="35" t="n">
        <x:v>0</x:v>
      </x:c>
      <x:c r="G19" s="35" t="n">
        <x:v>0</x:v>
      </x:c>
      <x:c r="H19" s="38" t="str">
        <x:f>IF(AND(E19=10,F19=10),"Sim","Não")</x:f>
        <x:v>Não</x:v>
      </x:c>
      <x:c r="I19" s="38" t="str">
        <x:f>IF(OR(E19=10,F19=10),"Sim","Não")</x:f>
        <x:v>Sim</x:v>
      </x:c>
      <x:c r="J19" s="35" t="n">
        <x:f>IF(R19="Sim",0.5,-0.5)</x:f>
        <x:v>-0.5</x:v>
      </x:c>
      <x:c r="K19" s="35" t="n">
        <x:f>MAX(0,MIN(10,G19+J19))</x:f>
        <x:v>0</x:v>
      </x:c>
      <x:c r="L19" s="35" t="str">
        <x:f>IF(Q19="Sim",85+0.5*K19,"")</x:f>
      </x:c>
      <x:c r="M19" s="35" t="n">
        <x:f>IF(AND(Q19="Sim",H19="Não"),10,0)</x:f>
        <x:v>0</x:v>
      </x:c>
      <x:c r="N19" s="35" t="n">
        <x:f>ROUND(IF(Q19="Não",IF(I19="Não",0,50),MAX(IF(K19&gt;=5,75,0),L19-M19)),1)</x:f>
        <x:v>50</x:v>
      </x:c>
      <x:c r="O19" s="38" t="str">
        <x:f>IF(AND(K19&gt;=5,N19&gt;=75),"Aprovado","Reprovado")</x:f>
        <x:v>Reprovado</x:v>
      </x:c>
      <x:c r="P19" s="40" t="str">
        <x:v>Nenhum envio localizado no Moodle nem entre as entregas excepcionais por e-mail.</x:v>
      </x:c>
      <x:c r="Q19" s="38" t="str">
        <x:f>IF(D19="Sem envio","Não","Sim")</x:f>
        <x:v>Não</x:v>
      </x:c>
      <x:c r="R19" s="38" t="str">
        <x:f>IF(AND(Q19="Sim",H19="Sim"),"Sim","Não")</x:f>
        <x:v>Não</x:v>
      </x:c>
      <x:c r="S19" s="32" t="n">
        <x:v>0</x:v>
      </x:c>
    </x:row>
    <x:row r="20" ht="40" customHeight="1">
      <x:c r="A20" s="28" t="str">
        <x:v>Dayane Nogueira dos Santos</x:v>
      </x:c>
      <x:c r="B20" s="30" t="str">
        <x:v>15514004</x:v>
      </x:c>
      <x:c r="C20" s="26" t="str">
        <x:v>dayanenogueira2000@usp.br</x:v>
      </x:c>
      <x:c r="D20" s="38" t="str">
        <x:v>Moodle</x:v>
      </x:c>
      <x:c r="E20" s="35" t="n">
        <x:v>10</x:v>
      </x:c>
      <x:c r="F20" s="35" t="n">
        <x:v>0</x:v>
      </x:c>
      <x:c r="G20" s="35" t="n">
        <x:v>8.7</x:v>
      </x:c>
      <x:c r="H20" s="38" t="str">
        <x:f>IF(AND(E20=10,F20=10),"Sim","Não")</x:f>
        <x:v>Não</x:v>
      </x:c>
      <x:c r="I20" s="38" t="str">
        <x:f>IF(OR(E20=10,F20=10),"Sim","Não")</x:f>
        <x:v>Sim</x:v>
      </x:c>
      <x:c r="J20" s="35" t="n">
        <x:f>IF(R20="Sim",0.5,-0.5)</x:f>
        <x:v>-0.5</x:v>
      </x:c>
      <x:c r="K20" s="35" t="n">
        <x:f>MAX(0,MIN(10,G20+J20))</x:f>
        <x:v>8.2</x:v>
      </x:c>
      <x:c r="L20" s="35" t="n">
        <x:f>IF(Q20="Sim",85+0.5*K20,"")</x:f>
        <x:v>89.1</x:v>
      </x:c>
      <x:c r="M20" s="35" t="n">
        <x:f>IF(AND(Q20="Sim",H20="Não"),10,0)</x:f>
        <x:v>10</x:v>
      </x:c>
      <x:c r="N20" s="35" t="n">
        <x:f>ROUND(IF(Q20="Não",IF(I20="Não",0,50),MAX(IF(K20&gt;=5,75,0),L20-M20)),1)</x:f>
        <x:v>79.1</x:v>
      </x:c>
      <x:c r="O20" s="38" t="str">
        <x:f>IF(AND(K20&gt;=5,N20&gt;=75),"Aprovado","Reprovado")</x:f>
        <x:v>Aprovado</x:v>
      </x:c>
      <x:c r="P20" s="40" t="str">
        <x:v>Relatório completo; usa variante do teste com resultados próximos, mas há pequenas inconsistências na limpeza e apresentação numérica.</x:v>
      </x:c>
      <x:c r="Q20" s="38" t="str">
        <x:f>IF(D20="Sem envio","Não","Sim")</x:f>
        <x:v>Sim</x:v>
      </x:c>
      <x:c r="R20" s="38" t="str">
        <x:f>IF(AND(Q20="Sim",H20="Sim"),"Sim","Não")</x:f>
        <x:v>Não</x:v>
      </x:c>
      <x:c r="S20" s="32" t="n">
        <x:v>0</x:v>
      </x:c>
    </x:row>
    <x:row r="21" ht="40" customHeight="1">
      <x:c r="A21" s="28" t="str">
        <x:v>Dong Zishuo</x:v>
      </x:c>
      <x:c r="B21" s="30" t="str">
        <x:v>17117294</x:v>
      </x:c>
      <x:c r="C21" s="26" t="str">
        <x:v>woshidongzishuo@126.com</x:v>
      </x:c>
      <x:c r="D21" s="38" t="str">
        <x:v>Sem envio</x:v>
      </x:c>
      <x:c r="E21" s="35" t="n">
        <x:v>0</x:v>
      </x:c>
      <x:c r="F21" s="35" t="n">
        <x:v>0</x:v>
      </x:c>
      <x:c r="G21" s="35" t="n">
        <x:v>0</x:v>
      </x:c>
      <x:c r="H21" s="38" t="str">
        <x:f>IF(AND(E21=10,F21=10),"Sim","Não")</x:f>
        <x:v>Não</x:v>
      </x:c>
      <x:c r="I21" s="38" t="str">
        <x:f>IF(OR(E21=10,F21=10),"Sim","Não")</x:f>
        <x:v>Não</x:v>
      </x:c>
      <x:c r="J21" s="35" t="n">
        <x:f>IF(R21="Sim",0.5,-0.5)</x:f>
        <x:v>-0.5</x:v>
      </x:c>
      <x:c r="K21" s="35" t="n">
        <x:f>MAX(0,MIN(10,G21+J21))</x:f>
        <x:v>0</x:v>
      </x:c>
      <x:c r="L21" s="35" t="str">
        <x:f>IF(Q21="Sim",85+0.5*K21,"")</x:f>
      </x:c>
      <x:c r="M21" s="35" t="n">
        <x:f>IF(AND(Q21="Sim",H21="Não"),10,0)</x:f>
        <x:v>0</x:v>
      </x:c>
      <x:c r="N21" s="35" t="n">
        <x:f>ROUND(IF(Q21="Não",IF(I21="Não",0,50),MAX(IF(K21&gt;=5,75,0),L21-M21)),1)</x:f>
        <x:v>0</x:v>
      </x:c>
      <x:c r="O21" s="38" t="str">
        <x:f>IF(AND(K21&gt;=5,N21&gt;=75),"Aprovado","Reprovado")</x:f>
        <x:v>Reprovado</x:v>
      </x:c>
      <x:c r="P21" s="40" t="str">
        <x:v>Nenhum envio localizado no Moodle nem entre as entregas excepcionais por e-mail.</x:v>
      </x:c>
      <x:c r="Q21" s="38" t="str">
        <x:f>IF(D21="Sem envio","Não","Sim")</x:f>
        <x:v>Não</x:v>
      </x:c>
      <x:c r="R21" s="38" t="str">
        <x:f>IF(AND(Q21="Sim",H21="Sim"),"Sim","Não")</x:f>
        <x:v>Não</x:v>
      </x:c>
      <x:c r="S21" s="32" t="n">
        <x:v>0</x:v>
      </x:c>
    </x:row>
    <x:row r="22" ht="40" customHeight="1">
      <x:c r="A22" s="28" t="str">
        <x:v>Emerson de Lima Gomes</x:v>
      </x:c>
      <x:c r="B22" s="30" t="str">
        <x:v>13713872</x:v>
      </x:c>
      <x:c r="C22" s="26" t="str">
        <x:v>egomes@usp.br</x:v>
      </x:c>
      <x:c r="D22" s="38" t="str">
        <x:v>Moodle</x:v>
      </x:c>
      <x:c r="E22" s="35" t="n">
        <x:v>10</x:v>
      </x:c>
      <x:c r="F22" s="35" t="n">
        <x:v>10</x:v>
      </x:c>
      <x:c r="G22" s="35" t="n">
        <x:v>8.5</x:v>
      </x:c>
      <x:c r="H22" s="38" t="str">
        <x:f>IF(AND(E22=10,F22=10),"Sim","Não")</x:f>
        <x:v>Sim</x:v>
      </x:c>
      <x:c r="I22" s="38" t="str">
        <x:f>IF(OR(E22=10,F22=10),"Sim","Não")</x:f>
        <x:v>Sim</x:v>
      </x:c>
      <x:c r="J22" s="35" t="n">
        <x:f>IF(R22="Sim",0.5,-0.5)</x:f>
        <x:v>0.5</x:v>
      </x:c>
      <x:c r="K22" s="35" t="n">
        <x:f>MAX(0,MIN(10,G22+J22))</x:f>
        <x:v>9</x:v>
      </x:c>
      <x:c r="L22" s="35" t="n">
        <x:f>IF(Q22="Sim",85+0.5*K22,"")</x:f>
        <x:v>89.5</x:v>
      </x:c>
      <x:c r="M22" s="35" t="n">
        <x:f>IF(AND(Q22="Sim",H22="Não"),10,0)</x:f>
        <x:v>0</x:v>
      </x:c>
      <x:c r="N22" s="35" t="n">
        <x:f>ROUND(IF(Q22="Não",IF(I22="Não",0,50),MAX(IF(K22&gt;=5,75,0),L22-M22)),1)</x:f>
        <x:v>89.5</x:v>
      </x:c>
      <x:c r="O22" s="38" t="str">
        <x:f>IF(AND(K22&gt;=5,N22&gt;=75),"Aprovado","Reprovado")</x:f>
        <x:v>Aprovado</x:v>
      </x:c>
      <x:c r="P22" s="40" t="str">
        <x:v>Resultados centrais corretos; faltam precisão em parte das decisões/interpretações e na discussão dos níveis de significância.</x:v>
      </x:c>
      <x:c r="Q22" s="38" t="str">
        <x:f>IF(D22="Sem envio","Não","Sim")</x:f>
        <x:v>Sim</x:v>
      </x:c>
      <x:c r="R22" s="38" t="str">
        <x:f>IF(AND(Q22="Sim",H22="Sim"),"Sim","Não")</x:f>
        <x:v>Sim</x:v>
      </x:c>
      <x:c r="S22" s="32" t="n">
        <x:v>0</x:v>
      </x:c>
    </x:row>
    <x:row r="23" ht="40" customHeight="1">
      <x:c r="A23" s="28" t="str">
        <x:v>Emilio Amigo Gamo</x:v>
      </x:c>
      <x:c r="B23" s="30" t="str">
        <x:v>5549811</x:v>
      </x:c>
      <x:c r="C23" s="26" t="str">
        <x:v>eamigogamo@usp.br</x:v>
      </x:c>
      <x:c r="D23" s="38" t="str">
        <x:v>Moodle</x:v>
      </x:c>
      <x:c r="E23" s="35" t="n">
        <x:v>10</x:v>
      </x:c>
      <x:c r="F23" s="35" t="n">
        <x:v>10</x:v>
      </x:c>
      <x:c r="G23" s="35" t="n">
        <x:v>9.1</x:v>
      </x:c>
      <x:c r="H23" s="38" t="str">
        <x:f>IF(AND(E23=10,F23=10),"Sim","Não")</x:f>
        <x:v>Sim</x:v>
      </x:c>
      <x:c r="I23" s="38" t="str">
        <x:f>IF(OR(E23=10,F23=10),"Sim","Não")</x:f>
        <x:v>Sim</x:v>
      </x:c>
      <x:c r="J23" s="35" t="n">
        <x:f>IF(R23="Sim",0.5,-0.5)</x:f>
        <x:v>0.5</x:v>
      </x:c>
      <x:c r="K23" s="35" t="n">
        <x:f>MAX(0,MIN(10,G23+J23))</x:f>
        <x:v>9.6</x:v>
      </x:c>
      <x:c r="L23" s="35" t="n">
        <x:f>IF(Q23="Sim",85+0.5*K23,"")</x:f>
        <x:v>89.8</x:v>
      </x:c>
      <x:c r="M23" s="35" t="n">
        <x:f>IF(AND(Q23="Sim",H23="Não"),10,0)</x:f>
        <x:v>0</x:v>
      </x:c>
      <x:c r="N23" s="35" t="n">
        <x:f>ROUND(IF(Q23="Não",IF(I23="Não",0,50),MAX(IF(K23&gt;=5,75,0),L23-M23)),1)</x:f>
        <x:v>89.8</x:v>
      </x:c>
      <x:c r="O23" s="38" t="str">
        <x:f>IF(AND(K23&gt;=5,N23&gt;=75),"Aprovado","Reprovado")</x:f>
        <x:v>Aprovado</x:v>
      </x:c>
      <x:c r="P23" s="40" t="str">
        <x:v>Análise completa e substantivamente correta; pequenas diferenças numéricas são compatíveis com outra implementação do teste.</x:v>
      </x:c>
      <x:c r="Q23" s="38" t="str">
        <x:f>IF(D23="Sem envio","Não","Sim")</x:f>
        <x:v>Sim</x:v>
      </x:c>
      <x:c r="R23" s="38" t="str">
        <x:f>IF(AND(Q23="Sim",H23="Sim"),"Sim","Não")</x:f>
        <x:v>Sim</x:v>
      </x:c>
      <x:c r="S23" s="32" t="n">
        <x:v>0</x:v>
      </x:c>
    </x:row>
    <x:row r="24" ht="40" customHeight="1">
      <x:c r="A24" s="28" t="str">
        <x:v>Enzo Rosa Chiavarini Altavista</x:v>
      </x:c>
      <x:c r="B24" s="30" t="str">
        <x:v>15450000</x:v>
      </x:c>
      <x:c r="C24" s="26" t="str">
        <x:v>enzoaltavista@usp.br</x:v>
      </x:c>
      <x:c r="D24" s="38" t="str">
        <x:v>Sem envio</x:v>
      </x:c>
      <x:c r="E24" s="35" t="n">
        <x:v>0</x:v>
      </x:c>
      <x:c r="F24" s="35" t="n">
        <x:v>0</x:v>
      </x:c>
      <x:c r="G24" s="35" t="n">
        <x:v>0</x:v>
      </x:c>
      <x:c r="H24" s="38" t="str">
        <x:f>IF(AND(E24=10,F24=10),"Sim","Não")</x:f>
        <x:v>Não</x:v>
      </x:c>
      <x:c r="I24" s="38" t="str">
        <x:f>IF(OR(E24=10,F24=10),"Sim","Não")</x:f>
        <x:v>Não</x:v>
      </x:c>
      <x:c r="J24" s="35" t="n">
        <x:f>IF(R24="Sim",0.5,-0.5)</x:f>
        <x:v>-0.5</x:v>
      </x:c>
      <x:c r="K24" s="35" t="n">
        <x:f>MAX(0,MIN(10,G24+J24))</x:f>
        <x:v>0</x:v>
      </x:c>
      <x:c r="L24" s="35" t="str">
        <x:f>IF(Q24="Sim",85+0.5*K24,"")</x:f>
      </x:c>
      <x:c r="M24" s="35" t="n">
        <x:f>IF(AND(Q24="Sim",H24="Não"),10,0)</x:f>
        <x:v>0</x:v>
      </x:c>
      <x:c r="N24" s="35" t="n">
        <x:f>ROUND(IF(Q24="Não",IF(I24="Não",0,50),MAX(IF(K24&gt;=5,75,0),L24-M24)),1)</x:f>
        <x:v>0</x:v>
      </x:c>
      <x:c r="O24" s="38" t="str">
        <x:f>IF(AND(K24&gt;=5,N24&gt;=75),"Aprovado","Reprovado")</x:f>
        <x:v>Reprovado</x:v>
      </x:c>
      <x:c r="P24" s="40" t="str">
        <x:v>Nenhum envio localizado no Moodle nem entre as entregas excepcionais por e-mail.</x:v>
      </x:c>
      <x:c r="Q24" s="38" t="str">
        <x:f>IF(D24="Sem envio","Não","Sim")</x:f>
        <x:v>Não</x:v>
      </x:c>
      <x:c r="R24" s="38" t="str">
        <x:f>IF(AND(Q24="Sim",H24="Sim"),"Sim","Não")</x:f>
        <x:v>Não</x:v>
      </x:c>
      <x:c r="S24" s="32" t="n">
        <x:v>0</x:v>
      </x:c>
    </x:row>
    <x:row r="25" ht="150" customHeight="1">
      <x:c r="A25" s="28" t="str">
        <x:v>Fellipe Matheus Bernardino Pereira</x:v>
      </x:c>
      <x:c r="B25" s="30" t="str">
        <x:v>11330361</x:v>
      </x:c>
      <x:c r="C25" s="26" t="str">
        <x:v>fellipeb@usp.br</x:v>
      </x:c>
      <x:c r="D25" s="38" t="str">
        <x:v>Moodle</x:v>
      </x:c>
      <x:c r="E25" s="35" t="n">
        <x:v>10</x:v>
      </x:c>
      <x:c r="F25" s="35" t="n">
        <x:v>10</x:v>
      </x:c>
      <x:c r="G25" s="35" t="n">
        <x:v>9.8</x:v>
      </x:c>
      <x:c r="H25" s="38" t="str">
        <x:f>IF(AND(E25=10,F25=10),"Sim","Não")</x:f>
        <x:v>Sim</x:v>
      </x:c>
      <x:c r="I25" s="38" t="str">
        <x:f>IF(OR(E25=10,F25=10),"Sim","Não")</x:f>
        <x:v>Sim</x:v>
      </x:c>
      <x:c r="J25" s="35" t="n">
        <x:f>IF(R25="Sim",0.5,-0.5)</x:f>
        <x:v>0.5</x:v>
      </x:c>
      <x:c r="K25" s="35" t="n">
        <x:f>MAX(0,MIN(10,G25+J25))</x:f>
        <x:v>10</x:v>
      </x:c>
      <x:c r="L25" s="35" t="n">
        <x:f>IF(Q25="Sim",85+0.5*K25,"")</x:f>
        <x:v>90</x:v>
      </x:c>
      <x:c r="M25" s="35" t="n">
        <x:f>IF(AND(Q25="Sim",H25="Não"),10,0)</x:f>
        <x:v>0</x:v>
      </x:c>
      <x:c r="N25" s="35" t="n">
        <x:f>ROUND(IF(Q25="Não",IF(I25="Não",0,50),MAX(IF(K25&gt;=5,75,0),L25-M25)),1)</x:f>
        <x:v>90</x:v>
      </x:c>
      <x:c r="O25" s="38" t="str">
        <x:f>IF(AND(K25&gt;=5,N25&gt;=75),"Aprovado","Reprovado")</x:f>
        <x:v>Aprovado</x:v>
      </x:c>
      <x:c r="P25" s="40" t="str">
        <x:v>Nota adotada após releitura independente cega: 9,8. O relatório identifica a base com 1.038 linhas e 26 variáveis, verifica dados ausentes e códigos anômalos e reproduz corretamente os resultados centrais. Para experiência administrativa, encontra 482 casos entre 524 observações válidas no MAPA e 312 entre 354 no MinC. O primeiro teste produz p = 0,05716: não se rejeita a hipótese de igualdade a 5% ou 1%, mas ela é rejeitada a 10%. Para cargos de alto nível, encontra 187 entre 525 no MAPA e 155 entre 365 no MinC, com p = 0,03889, decisão correta a 5%. Também explica corretamente que dobrar a amostra reduz o erro-padrão por 1/√2, cerca de 29,3%. Os pequenos descontos decorrem de não fornecer a referência bibliográfica completa, chamar a unidade de “indicação” em vez de nomeação/ocupação e não mostrar explicitamente o código de importação e carregamento de pacotes.</x:v>
      </x:c>
      <x:c r="Q25" s="38" t="str">
        <x:f>IF(D25="Sem envio","Não","Sim")</x:f>
        <x:v>Sim</x:v>
      </x:c>
      <x:c r="R25" s="38" t="str">
        <x:f>IF(AND(Q25="Sim",H25="Sim"),"Sim","Não")</x:f>
        <x:v>Sim</x:v>
      </x:c>
      <x:c r="S25" s="32" t="n">
        <x:v>0</x:v>
      </x:c>
    </x:row>
    <x:row r="26" ht="40" customHeight="1">
      <x:c r="A26" s="28" t="str">
        <x:v>Fernanda Cristina de Oliveira da Silva</x:v>
      </x:c>
      <x:c r="B26" s="30" t="str">
        <x:v>15451867</x:v>
      </x:c>
      <x:c r="C26" s="26" t="str">
        <x:v>fernand1.cristina05@usp.br</x:v>
      </x:c>
      <x:c r="D26" s="38" t="str">
        <x:v>Moodle</x:v>
      </x:c>
      <x:c r="E26" s="35" t="n">
        <x:v>10</x:v>
      </x:c>
      <x:c r="F26" s="35" t="n">
        <x:v>10</x:v>
      </x:c>
      <x:c r="G26" s="35" t="n">
        <x:v>5.9</x:v>
      </x:c>
      <x:c r="H26" s="38" t="str">
        <x:f>IF(AND(E26=10,F26=10),"Sim","Não")</x:f>
        <x:v>Sim</x:v>
      </x:c>
      <x:c r="I26" s="38" t="str">
        <x:f>IF(OR(E26=10,F26=10),"Sim","Não")</x:f>
        <x:v>Sim</x:v>
      </x:c>
      <x:c r="J26" s="35" t="n">
        <x:f>IF(R26="Sim",0.5,-0.5)</x:f>
        <x:v>0.5</x:v>
      </x:c>
      <x:c r="K26" s="35" t="n">
        <x:f>MAX(0,MIN(10,G26+J26))</x:f>
        <x:v>6.4</x:v>
      </x:c>
      <x:c r="L26" s="35" t="n">
        <x:f>IF(Q26="Sim",85+0.5*K26,"")</x:f>
        <x:v>88.2</x:v>
      </x:c>
      <x:c r="M26" s="35" t="n">
        <x:f>IF(AND(Q26="Sim",H26="Não"),10,0)</x:f>
        <x:v>0</x:v>
      </x:c>
      <x:c r="N26" s="35" t="n">
        <x:f>ROUND(IF(Q26="Não",IF(I26="Não",0,50),MAX(IF(K26&gt;=5,75,0),L26-M26)),1)</x:f>
        <x:v>88.2</x:v>
      </x:c>
      <x:c r="O26" s="38" t="str">
        <x:f>IF(AND(K26&gt;=5,N26&gt;=75),"Aprovado","Reprovado")</x:f>
        <x:v>Aprovado</x:v>
      </x:c>
      <x:c r="P26" s="40" t="str">
        <x:v>Agrega as pastas na tabela descritiva e obtém p-valor 0,001 no primeiro teste; o segundo teste e o efeito do tamanho amostral estão corretos.</x:v>
      </x:c>
      <x:c r="Q26" s="38" t="str">
        <x:f>IF(D26="Sem envio","Não","Sim")</x:f>
        <x:v>Sim</x:v>
      </x:c>
      <x:c r="R26" s="38" t="str">
        <x:f>IF(AND(Q26="Sim",H26="Sim"),"Sim","Não")</x:f>
        <x:v>Sim</x:v>
      </x:c>
      <x:c r="S26" s="32" t="n">
        <x:v>0</x:v>
      </x:c>
    </x:row>
    <x:row r="27" ht="40" customHeight="1">
      <x:c r="A27" s="28" t="str">
        <x:v>Filipe Kiyoshi Otuka</x:v>
      </x:c>
      <x:c r="B27" s="30" t="str">
        <x:v>14780870</x:v>
      </x:c>
      <x:c r="C27" s="26" t="str">
        <x:v>filipeotuka@usp.br</x:v>
      </x:c>
      <x:c r="D27" s="38" t="str">
        <x:v>Moodle</x:v>
      </x:c>
      <x:c r="E27" s="35" t="n">
        <x:v>10</x:v>
      </x:c>
      <x:c r="F27" s="35" t="n">
        <x:v>10</x:v>
      </x:c>
      <x:c r="G27" s="35" t="n">
        <x:v>9.6</x:v>
      </x:c>
      <x:c r="H27" s="38" t="str">
        <x:f>IF(AND(E27=10,F27=10),"Sim","Não")</x:f>
        <x:v>Sim</x:v>
      </x:c>
      <x:c r="I27" s="38" t="str">
        <x:f>IF(OR(E27=10,F27=10),"Sim","Não")</x:f>
        <x:v>Sim</x:v>
      </x:c>
      <x:c r="J27" s="35" t="n">
        <x:f>IF(R27="Sim",0.5,-0.5)</x:f>
        <x:v>0.5</x:v>
      </x:c>
      <x:c r="K27" s="35" t="n">
        <x:f>MAX(0,MIN(10,G27+J27))</x:f>
        <x:v>10</x:v>
      </x:c>
      <x:c r="L27" s="35" t="n">
        <x:f>IF(Q27="Sim",85+0.5*K27,"")</x:f>
        <x:v>90</x:v>
      </x:c>
      <x:c r="M27" s="35" t="n">
        <x:f>IF(AND(Q27="Sim",H27="Não"),10,0)</x:f>
        <x:v>0</x:v>
      </x:c>
      <x:c r="N27" s="35" t="n">
        <x:f>ROUND(IF(Q27="Não",IF(I27="Não",0,50),MAX(IF(K27&gt;=5,75,0),L27-M27)),1)</x:f>
        <x:v>90</x:v>
      </x:c>
      <x:c r="O27" s="38" t="str">
        <x:f>IF(AND(K27&gt;=5,N27&gt;=75),"Aprovado","Reprovado")</x:f>
        <x:v>Aprovado</x:v>
      </x:c>
      <x:c r="P27" s="40" t="str">
        <x:v>Trabalho completo e correto; resultados, testes e interpretações estão alinhados ao gabarito.</x:v>
      </x:c>
      <x:c r="Q27" s="38" t="str">
        <x:f>IF(D27="Sem envio","Não","Sim")</x:f>
        <x:v>Sim</x:v>
      </x:c>
      <x:c r="R27" s="38" t="str">
        <x:f>IF(AND(Q27="Sim",H27="Sim"),"Sim","Não")</x:f>
        <x:v>Sim</x:v>
      </x:c>
      <x:c r="S27" s="32" t="n">
        <x:v>0</x:v>
      </x:c>
    </x:row>
    <x:row r="28" ht="40" customHeight="1">
      <x:c r="A28" s="28" t="str">
        <x:v>Franciele de Brito Leite</x:v>
      </x:c>
      <x:c r="B28" s="30" t="str">
        <x:v>13825860</x:v>
      </x:c>
      <x:c r="C28" s="26" t="str">
        <x:v>debritofranciele@usp.br</x:v>
      </x:c>
      <x:c r="D28" s="38" t="str">
        <x:v>Moodle</x:v>
      </x:c>
      <x:c r="E28" s="35" t="n">
        <x:v>10</x:v>
      </x:c>
      <x:c r="F28" s="35" t="n">
        <x:v>10</x:v>
      </x:c>
      <x:c r="G28" s="35" t="n">
        <x:v>9.4</x:v>
      </x:c>
      <x:c r="H28" s="38" t="str">
        <x:f>IF(AND(E28=10,F28=10),"Sim","Não")</x:f>
        <x:v>Sim</x:v>
      </x:c>
      <x:c r="I28" s="38" t="str">
        <x:f>IF(OR(E28=10,F28=10),"Sim","Não")</x:f>
        <x:v>Sim</x:v>
      </x:c>
      <x:c r="J28" s="35" t="n">
        <x:f>IF(R28="Sim",0.5,-0.5)</x:f>
        <x:v>0.5</x:v>
      </x:c>
      <x:c r="K28" s="35" t="n">
        <x:f>MAX(0,MIN(10,G28+J28))</x:f>
        <x:v>9.9</x:v>
      </x:c>
      <x:c r="L28" s="35" t="n">
        <x:f>IF(Q28="Sim",85+0.5*K28,"")</x:f>
        <x:v>89.95</x:v>
      </x:c>
      <x:c r="M28" s="35" t="n">
        <x:f>IF(AND(Q28="Sim",H28="Não"),10,0)</x:f>
        <x:v>0</x:v>
      </x:c>
      <x:c r="N28" s="35" t="n">
        <x:f>ROUND(IF(Q28="Não",IF(I28="Não",0,50),MAX(IF(K28&gt;=5,75,0),L28-M28)),1)</x:f>
        <x:v>90</x:v>
      </x:c>
      <x:c r="O28" s="38" t="str">
        <x:f>IF(AND(K28&gt;=5,N28&gt;=75),"Aprovado","Reprovado")</x:f>
        <x:v>Aprovado</x:v>
      </x:c>
      <x:c r="P28" s="40" t="str">
        <x:v>Resultados e interpretações corretos; pequenas perdas de apresentação/validação.</x:v>
      </x:c>
      <x:c r="Q28" s="38" t="str">
        <x:f>IF(D28="Sem envio","Não","Sim")</x:f>
        <x:v>Sim</x:v>
      </x:c>
      <x:c r="R28" s="38" t="str">
        <x:f>IF(AND(Q28="Sim",H28="Sim"),"Sim","Não")</x:f>
        <x:v>Sim</x:v>
      </x:c>
      <x:c r="S28" s="32" t="n">
        <x:v>0</x:v>
      </x:c>
    </x:row>
    <x:row r="29" ht="192" customHeight="1">
      <x:c r="A29" s="28" t="str">
        <x:v>Francisco Zardo de Melo</x:v>
      </x:c>
      <x:c r="B29" s="30" t="str">
        <x:v>15452656</x:v>
      </x:c>
      <x:c r="C29" s="26" t="str">
        <x:v>franciscozmelo@usp.br</x:v>
      </x:c>
      <x:c r="D29" s="38" t="str">
        <x:v>Moodle</x:v>
      </x:c>
      <x:c r="E29" s="35" t="n">
        <x:v>10</x:v>
      </x:c>
      <x:c r="F29" s="35" t="n">
        <x:v>10</x:v>
      </x:c>
      <x:c r="G29" s="35" t="n">
        <x:v>6.5</x:v>
      </x:c>
      <x:c r="H29" s="38" t="str">
        <x:f>IF(AND(E29=10,F29=10),"Sim","Não")</x:f>
        <x:v>Sim</x:v>
      </x:c>
      <x:c r="I29" s="38" t="str">
        <x:f>IF(OR(E29=10,F29=10),"Sim","Não")</x:f>
        <x:v>Sim</x:v>
      </x:c>
      <x:c r="J29" s="35" t="n">
        <x:f>IF(R29="Sim",0.5,-0.5)</x:f>
        <x:v>0.5</x:v>
      </x:c>
      <x:c r="K29" s="35" t="n">
        <x:f>MAX(0,MIN(10,G29+J29))</x:f>
        <x:v>7</x:v>
      </x:c>
      <x:c r="L29" s="35" t="n">
        <x:f>IF(Q29="Sim",85+0.5*K29,"")</x:f>
        <x:v>88.5</x:v>
      </x:c>
      <x:c r="M29" s="35" t="n">
        <x:f>IF(AND(Q29="Sim",H29="Não"),10,0)</x:f>
        <x:v>0</x:v>
      </x:c>
      <x:c r="N29" s="35" t="n">
        <x:f>ROUND(IF(Q29="Não",IF(I29="Não",0,50),MAX(IF(K29&gt;=5,75,0),L29-M29)),1)</x:f>
        <x:v>88.5</x:v>
      </x:c>
      <x:c r="O29" s="38" t="str">
        <x:f>IF(AND(K29&gt;=5,N29&gt;=75),"Aprovado","Reprovado")</x:f>
        <x:v>Aprovado</x:v>
      </x:c>
      <x:c r="P29" s="40" t="str">
        <x:v>Nota adotada após releitura independente cega: 6,5. O relatório identifica corretamente artigo, MAPA/MinC e a nomeação observada como unidade, registra 1.038 × 26 e lista as variáveis. A inspeção de ausências é parcialmente adequada: aparecem instr = 95, exp_adm = 11, nivel = 0, indicacao = 0 e car_pub = 17; exp_car surge fragmentada em 75 textos "NA" e um &lt;NA&gt;, sem consolidar 76. Após detectar códigos inválidos de exp_adm, não os retira dos denominadores. A tabela usa n = 525/365, em vez de 524/354. Embora x = 482/312 esteja correto, proporções e intervalos ficam errados, sobretudo no MinC. O teste 1 passa a ter diferença de 6,33 pontos percentuais e p = 0,00275, em vez de aproximadamente 3,85 e p = 0,057; a rejeição a 5% é incorreta. Também faltam H0/H1, comando do teste e interpretação probabilística do p-valor. O segundo teste está essencialmente correto: 187/525, 155/365 e p = 0,0389. A discussão de 1% mistura 1% com 0,1% e apresenta desigualdade incoerente. Ao dobrar n, acerta a direção, mas não fornece EP/√2 nem a redução de 29,3%. O relatório é legível e indica a fonte, porém não exibe código suficiente para reprodução plena.</x:v>
      </x:c>
      <x:c r="Q29" s="38" t="str">
        <x:f>IF(D29="Sem envio","Não","Sim")</x:f>
        <x:v>Sim</x:v>
      </x:c>
      <x:c r="R29" s="38" t="str">
        <x:f>IF(AND(Q29="Sim",H29="Sim"),"Sim","Não")</x:f>
        <x:v>Sim</x:v>
      </x:c>
      <x:c r="S29" s="32" t="n">
        <x:v>0</x:v>
      </x:c>
    </x:row>
    <x:row r="30" ht="150" customHeight="1">
      <x:c r="A30" s="28" t="str">
        <x:v>Gabriela Yumi Fraga Assano</x:v>
      </x:c>
      <x:c r="B30" s="30" t="str">
        <x:v>14573451</x:v>
      </x:c>
      <x:c r="C30" s="26" t="str">
        <x:v>gabiassano@usp.br</x:v>
      </x:c>
      <x:c r="D30" s="38" t="str">
        <x:v>Moodle</x:v>
      </x:c>
      <x:c r="E30" s="35" t="n">
        <x:v>10</x:v>
      </x:c>
      <x:c r="F30" s="35" t="n">
        <x:v>10</x:v>
      </x:c>
      <x:c r="G30" s="35" t="n">
        <x:v>8.3</x:v>
      </x:c>
      <x:c r="H30" s="38" t="str">
        <x:f>IF(AND(E30=10,F30=10),"Sim","Não")</x:f>
        <x:v>Sim</x:v>
      </x:c>
      <x:c r="I30" s="38" t="str">
        <x:f>IF(OR(E30=10,F30=10),"Sim","Não")</x:f>
        <x:v>Sim</x:v>
      </x:c>
      <x:c r="J30" s="35" t="n">
        <x:f>IF(R30="Sim",0.5,-0.5)</x:f>
        <x:v>0.5</x:v>
      </x:c>
      <x:c r="K30" s="35" t="n">
        <x:f>MAX(0,MIN(10,G30+J30))</x:f>
        <x:v>8.8</x:v>
      </x:c>
      <x:c r="L30" s="35" t="n">
        <x:f>IF(Q30="Sim",85+0.5*K30,"")</x:f>
        <x:v>89.4</x:v>
      </x:c>
      <x:c r="M30" s="35" t="n">
        <x:f>IF(AND(Q30="Sim",H30="Não"),10,0)</x:f>
        <x:v>0</x:v>
      </x:c>
      <x:c r="N30" s="35" t="n">
        <x:f>ROUND(IF(Q30="Não",IF(I30="Não",0,50),MAX(IF(K30&gt;=5,75,0),L30-M30)),1)</x:f>
        <x:v>89.4</x:v>
      </x:c>
      <x:c r="O30" s="38" t="str">
        <x:f>IF(AND(K30&gt;=5,N30&gt;=75),"Aprovado","Reprovado")</x:f>
        <x:v>Aprovado</x:v>
      </x:c>
      <x:c r="P30" s="40" t="str">
        <x:v>Nota final 8,3 após desconto docente de 1,5 ponto por suspeita não comprovada de assistência por IA (releitura independente: 9,8). O relatório identifica corretamente artigo, pastas e unidade de análise, além de registrar as 1.038 linhas e 26 colunas. Informa corretamente os ausentes em instr, exp_adm, exp_car, nivel e indicacao, mas não menciona os 17 ausentes de car_pub. As proporções de experiência administrativa e os intervalos coincidem com as referências: 482/524 no MAPA e 312/354 no MinC. O primeiro teste reporta p = 0,05716 e toma decisões corretas a 1%, 5% e 10%. A construção de alto_nivel, as proporções 187/525 e 155/365 e o segundo teste (p = 0,03889) também estão corretos. A explicação sobre dobrar a amostra usa corretamente 1/√2. Os descontos decorrem da omissão de car_pub, numeração duplicada de tabelas e alguns símbolos matemáticos mal renderizados.</x:v>
      </x:c>
      <x:c r="Q30" s="38" t="str">
        <x:f>IF(D30="Sem envio","Não","Sim")</x:f>
        <x:v>Sim</x:v>
      </x:c>
      <x:c r="R30" s="38" t="str">
        <x:f>IF(AND(Q30="Sim",H30="Sim"),"Sim","Não")</x:f>
        <x:v>Sim</x:v>
      </x:c>
      <x:c r="S30" s="32" t="n">
        <x:v>1.5</x:v>
      </x:c>
    </x:row>
    <x:row r="31" ht="40" customHeight="1">
      <x:c r="A31" s="28" t="str">
        <x:v>Giovanna Ellen Honório Braga</x:v>
      </x:c>
      <x:c r="B31" s="30" t="str">
        <x:v>14574661</x:v>
      </x:c>
      <x:c r="C31" s="26" t="str">
        <x:v>ghonorio@usp.br</x:v>
      </x:c>
      <x:c r="D31" s="38" t="str">
        <x:v>Moodle</x:v>
      </x:c>
      <x:c r="E31" s="35" t="n">
        <x:v>10</x:v>
      </x:c>
      <x:c r="F31" s="35" t="n">
        <x:v>10</x:v>
      </x:c>
      <x:c r="G31" s="35" t="n">
        <x:v>8.4</x:v>
      </x:c>
      <x:c r="H31" s="38" t="str">
        <x:f>IF(AND(E31=10,F31=10),"Sim","Não")</x:f>
        <x:v>Sim</x:v>
      </x:c>
      <x:c r="I31" s="38" t="str">
        <x:f>IF(OR(E31=10,F31=10),"Sim","Não")</x:f>
        <x:v>Sim</x:v>
      </x:c>
      <x:c r="J31" s="35" t="n">
        <x:f>IF(R31="Sim",0.5,-0.5)</x:f>
        <x:v>0.5</x:v>
      </x:c>
      <x:c r="K31" s="35" t="n">
        <x:f>MAX(0,MIN(10,G31+J31))</x:f>
        <x:v>8.9</x:v>
      </x:c>
      <x:c r="L31" s="35" t="n">
        <x:f>IF(Q31="Sim",85+0.5*K31,"")</x:f>
        <x:v>89.45</x:v>
      </x:c>
      <x:c r="M31" s="35" t="n">
        <x:f>IF(AND(Q31="Sim",H31="Não"),10,0)</x:f>
        <x:v>0</x:v>
      </x:c>
      <x:c r="N31" s="35" t="n">
        <x:f>ROUND(IF(Q31="Não",IF(I31="Não",0,50),MAX(IF(K31&gt;=5,75,0),L31-M31)),1)</x:f>
        <x:v>89.5</x:v>
      </x:c>
      <x:c r="O31" s="38" t="str">
        <x:f>IF(AND(K31&gt;=5,N31&gt;=75),"Aprovado","Reprovado")</x:f>
        <x:v>Aprovado</x:v>
      </x:c>
      <x:c r="P31" s="40" t="str">
        <x:v>Testes e segundo estimando estão corretos; há perdas em validação, denominadores e clareza de algumas decisões.</x:v>
      </x:c>
      <x:c r="Q31" s="38" t="str">
        <x:f>IF(D31="Sem envio","Não","Sim")</x:f>
        <x:v>Sim</x:v>
      </x:c>
      <x:c r="R31" s="38" t="str">
        <x:f>IF(AND(Q31="Sim",H31="Sim"),"Sim","Não")</x:f>
        <x:v>Sim</x:v>
      </x:c>
      <x:c r="S31" s="32" t="n">
        <x:v>0</x:v>
      </x:c>
    </x:row>
    <x:row r="32" ht="40" customHeight="1">
      <x:c r="A32" s="28" t="str">
        <x:v>Giovanna dos Santos Chistoni Silva</x:v>
      </x:c>
      <x:c r="B32" s="30" t="str">
        <x:v>13860449</x:v>
      </x:c>
      <x:c r="C32" s="26" t="str">
        <x:v>giovannas@usp.br</x:v>
      </x:c>
      <x:c r="D32" s="38" t="str">
        <x:v>Moodle</x:v>
      </x:c>
      <x:c r="E32" s="35" t="n">
        <x:v>10</x:v>
      </x:c>
      <x:c r="F32" s="35" t="n">
        <x:v>10</x:v>
      </x:c>
      <x:c r="G32" s="35" t="n">
        <x:v>9.5</x:v>
      </x:c>
      <x:c r="H32" s="38" t="str">
        <x:f>IF(AND(E32=10,F32=10),"Sim","Não")</x:f>
        <x:v>Sim</x:v>
      </x:c>
      <x:c r="I32" s="38" t="str">
        <x:f>IF(OR(E32=10,F32=10),"Sim","Não")</x:f>
        <x:v>Sim</x:v>
      </x:c>
      <x:c r="J32" s="35" t="n">
        <x:f>IF(R32="Sim",0.5,-0.5)</x:f>
        <x:v>0.5</x:v>
      </x:c>
      <x:c r="K32" s="35" t="n">
        <x:f>MAX(0,MIN(10,G32+J32))</x:f>
        <x:v>10</x:v>
      </x:c>
      <x:c r="L32" s="35" t="n">
        <x:f>IF(Q32="Sim",85+0.5*K32,"")</x:f>
        <x:v>90</x:v>
      </x:c>
      <x:c r="M32" s="35" t="n">
        <x:f>IF(AND(Q32="Sim",H32="Não"),10,0)</x:f>
        <x:v>0</x:v>
      </x:c>
      <x:c r="N32" s="35" t="n">
        <x:f>ROUND(IF(Q32="Não",IF(I32="Não",0,50),MAX(IF(K32&gt;=5,75,0),L32-M32)),1)</x:f>
        <x:v>90</x:v>
      </x:c>
      <x:c r="O32" s="38" t="str">
        <x:f>IF(AND(K32&gt;=5,N32&gt;=75),"Aprovado","Reprovado")</x:f>
        <x:v>Aprovado</x:v>
      </x:c>
      <x:c r="P32" s="40" t="str">
        <x:v>Trabalho completo e correto; pequenas diferenças de apresentação não afetam as conclusões.</x:v>
      </x:c>
      <x:c r="Q32" s="38" t="str">
        <x:f>IF(D32="Sem envio","Não","Sim")</x:f>
        <x:v>Sim</x:v>
      </x:c>
      <x:c r="R32" s="38" t="str">
        <x:f>IF(AND(Q32="Sim",H32="Sim"),"Sim","Não")</x:f>
        <x:v>Sim</x:v>
      </x:c>
      <x:c r="S32" s="32" t="n">
        <x:v>0</x:v>
      </x:c>
    </x:row>
    <x:row r="33" ht="40" customHeight="1">
      <x:c r="A33" s="28" t="str">
        <x:v>Guilherme Francisco de Lauro</x:v>
      </x:c>
      <x:c r="B33" s="30" t="str">
        <x:v>15456813</x:v>
      </x:c>
      <x:c r="C33" s="26" t="str">
        <x:v>guilherme.lauro@usp.br</x:v>
      </x:c>
      <x:c r="D33" s="38" t="str">
        <x:v>Moodle</x:v>
      </x:c>
      <x:c r="E33" s="35" t="n">
        <x:v>10</x:v>
      </x:c>
      <x:c r="F33" s="35" t="n">
        <x:v>10</x:v>
      </x:c>
      <x:c r="G33" s="35" t="n">
        <x:v>8.6</x:v>
      </x:c>
      <x:c r="H33" s="38" t="str">
        <x:f>IF(AND(E33=10,F33=10),"Sim","Não")</x:f>
        <x:v>Sim</x:v>
      </x:c>
      <x:c r="I33" s="38" t="str">
        <x:f>IF(OR(E33=10,F33=10),"Sim","Não")</x:f>
        <x:v>Sim</x:v>
      </x:c>
      <x:c r="J33" s="35" t="n">
        <x:f>IF(R33="Sim",0.5,-0.5)</x:f>
        <x:v>0.5</x:v>
      </x:c>
      <x:c r="K33" s="35" t="n">
        <x:f>MAX(0,MIN(10,G33+J33))</x:f>
        <x:v>9.1</x:v>
      </x:c>
      <x:c r="L33" s="35" t="n">
        <x:f>IF(Q33="Sim",85+0.5*K33,"")</x:f>
        <x:v>89.55</x:v>
      </x:c>
      <x:c r="M33" s="35" t="n">
        <x:f>IF(AND(Q33="Sim",H33="Não"),10,0)</x:f>
        <x:v>0</x:v>
      </x:c>
      <x:c r="N33" s="35" t="n">
        <x:f>ROUND(IF(Q33="Não",IF(I33="Não",0,50),MAX(IF(K33&gt;=5,75,0),L33-M33)),1)</x:f>
        <x:v>89.6</x:v>
      </x:c>
      <x:c r="O33" s="38" t="str">
        <x:f>IF(AND(K33&gt;=5,N33&gt;=75),"Aprovado","Reprovado")</x:f>
        <x:v>Aprovado</x:v>
      </x:c>
      <x:c r="P33" s="40" t="str">
        <x:v>Primeiro teste e tabela de exp_adm corretos; no segundo teste exclui observações ao herdar a base filtrada, alterando ligeiramente contagens e p-valor.</x:v>
      </x:c>
      <x:c r="Q33" s="38" t="str">
        <x:f>IF(D33="Sem envio","Não","Sim")</x:f>
        <x:v>Sim</x:v>
      </x:c>
      <x:c r="R33" s="38" t="str">
        <x:f>IF(AND(Q33="Sim",H33="Sim"),"Sim","Não")</x:f>
        <x:v>Sim</x:v>
      </x:c>
      <x:c r="S33" s="32" t="n">
        <x:v>0</x:v>
      </x:c>
    </x:row>
    <x:row r="34" ht="40" customHeight="1">
      <x:c r="A34" s="28" t="str">
        <x:v>Guilherme Pereira Ferreira</x:v>
      </x:c>
      <x:c r="B34" s="30" t="str">
        <x:v>8539774</x:v>
      </x:c>
      <x:c r="C34" s="26" t="str">
        <x:v>guilherme.pereira.ferreira@usp.br</x:v>
      </x:c>
      <x:c r="D34" s="38" t="str">
        <x:v>Sem envio</x:v>
      </x:c>
      <x:c r="E34" s="35" t="n">
        <x:v>10</x:v>
      </x:c>
      <x:c r="F34" s="35" t="n">
        <x:v>0</x:v>
      </x:c>
      <x:c r="G34" s="35" t="n">
        <x:v>0</x:v>
      </x:c>
      <x:c r="H34" s="38" t="str">
        <x:f>IF(AND(E34=10,F34=10),"Sim","Não")</x:f>
        <x:v>Não</x:v>
      </x:c>
      <x:c r="I34" s="38" t="str">
        <x:f>IF(OR(E34=10,F34=10),"Sim","Não")</x:f>
        <x:v>Sim</x:v>
      </x:c>
      <x:c r="J34" s="35" t="n">
        <x:f>IF(R34="Sim",0.5,-0.5)</x:f>
        <x:v>-0.5</x:v>
      </x:c>
      <x:c r="K34" s="35" t="n">
        <x:f>MAX(0,MIN(10,G34+J34))</x:f>
        <x:v>0</x:v>
      </x:c>
      <x:c r="L34" s="35" t="str">
        <x:f>IF(Q34="Sim",85+0.5*K34,"")</x:f>
      </x:c>
      <x:c r="M34" s="35" t="n">
        <x:f>IF(AND(Q34="Sim",H34="Não"),10,0)</x:f>
        <x:v>0</x:v>
      </x:c>
      <x:c r="N34" s="35" t="n">
        <x:f>ROUND(IF(Q34="Não",IF(I34="Não",0,50),MAX(IF(K34&gt;=5,75,0),L34-M34)),1)</x:f>
        <x:v>50</x:v>
      </x:c>
      <x:c r="O34" s="38" t="str">
        <x:f>IF(AND(K34&gt;=5,N34&gt;=75),"Aprovado","Reprovado")</x:f>
        <x:v>Reprovado</x:v>
      </x:c>
      <x:c r="P34" s="40" t="str">
        <x:v>Nenhum envio localizado no Moodle nem entre as entregas excepcionais por e-mail.</x:v>
      </x:c>
      <x:c r="Q34" s="38" t="str">
        <x:f>IF(D34="Sem envio","Não","Sim")</x:f>
        <x:v>Não</x:v>
      </x:c>
      <x:c r="R34" s="38" t="str">
        <x:f>IF(AND(Q34="Sim",H34="Sim"),"Sim","Não")</x:f>
        <x:v>Não</x:v>
      </x:c>
      <x:c r="S34" s="32" t="n">
        <x:v>0</x:v>
      </x:c>
    </x:row>
    <x:row r="35" ht="40" customHeight="1">
      <x:c r="A35" s="28" t="str">
        <x:v>Guilherme Salamuni Gonzaga de Oliveira</x:v>
      </x:c>
      <x:c r="B35" s="30" t="str">
        <x:v>15585578</x:v>
      </x:c>
      <x:c r="C35" s="26" t="str">
        <x:v>guisalamuni@usp.br</x:v>
      </x:c>
      <x:c r="D35" s="38" t="str">
        <x:v>Moodle</x:v>
      </x:c>
      <x:c r="E35" s="35" t="n">
        <x:v>10</x:v>
      </x:c>
      <x:c r="F35" s="35" t="n">
        <x:v>10</x:v>
      </x:c>
      <x:c r="G35" s="35" t="n">
        <x:v>9.3</x:v>
      </x:c>
      <x:c r="H35" s="38" t="str">
        <x:f>IF(AND(E35=10,F35=10),"Sim","Não")</x:f>
        <x:v>Sim</x:v>
      </x:c>
      <x:c r="I35" s="38" t="str">
        <x:f>IF(OR(E35=10,F35=10),"Sim","Não")</x:f>
        <x:v>Sim</x:v>
      </x:c>
      <x:c r="J35" s="35" t="n">
        <x:f>IF(R35="Sim",0.5,-0.5)</x:f>
        <x:v>0.5</x:v>
      </x:c>
      <x:c r="K35" s="35" t="n">
        <x:f>MAX(0,MIN(10,G35+J35))</x:f>
        <x:v>9.8</x:v>
      </x:c>
      <x:c r="L35" s="35" t="n">
        <x:f>IF(Q35="Sim",85+0.5*K35,"")</x:f>
        <x:v>89.9</x:v>
      </x:c>
      <x:c r="M35" s="35" t="n">
        <x:f>IF(AND(Q35="Sim",H35="Não"),10,0)</x:f>
        <x:v>0</x:v>
      </x:c>
      <x:c r="N35" s="35" t="n">
        <x:f>ROUND(IF(Q35="Não",IF(I35="Não",0,50),MAX(IF(K35&gt;=5,75,0),L35-M35)),1)</x:f>
        <x:v>89.9</x:v>
      </x:c>
      <x:c r="O35" s="38" t="str">
        <x:f>IF(AND(K35&gt;=5,N35&gt;=75),"Aprovado","Reprovado")</x:f>
        <x:v>Aprovado</x:v>
      </x:c>
      <x:c r="P35" s="40" t="str">
        <x:v>Cobertura completa e conclusões corretas; pequenas inconsistências de limpeza/denominadores.</x:v>
      </x:c>
      <x:c r="Q35" s="38" t="str">
        <x:f>IF(D35="Sem envio","Não","Sim")</x:f>
        <x:v>Sim</x:v>
      </x:c>
      <x:c r="R35" s="38" t="str">
        <x:f>IF(AND(Q35="Sim",H35="Sim"),"Sim","Não")</x:f>
        <x:v>Sim</x:v>
      </x:c>
      <x:c r="S35" s="32" t="n">
        <x:v>0</x:v>
      </x:c>
    </x:row>
    <x:row r="36" ht="40" customHeight="1">
      <x:c r="A36" s="28" t="str">
        <x:v>Gustavo Campos dos Santos</x:v>
      </x:c>
      <x:c r="B36" s="30" t="str">
        <x:v>15528312</x:v>
      </x:c>
      <x:c r="C36" s="26" t="str">
        <x:v>guto.stos@usp.br</x:v>
      </x:c>
      <x:c r="D36" s="38" t="str">
        <x:v>Moodle</x:v>
      </x:c>
      <x:c r="E36" s="35" t="n">
        <x:v>10</x:v>
      </x:c>
      <x:c r="F36" s="35" t="n">
        <x:v>10</x:v>
      </x:c>
      <x:c r="G36" s="35" t="n">
        <x:v>8.7</x:v>
      </x:c>
      <x:c r="H36" s="38" t="str">
        <x:f>IF(AND(E36=10,F36=10),"Sim","Não")</x:f>
        <x:v>Sim</x:v>
      </x:c>
      <x:c r="I36" s="38" t="str">
        <x:f>IF(OR(E36=10,F36=10),"Sim","Não")</x:f>
        <x:v>Sim</x:v>
      </x:c>
      <x:c r="J36" s="35" t="n">
        <x:f>IF(R36="Sim",0.5,-0.5)</x:f>
        <x:v>0.5</x:v>
      </x:c>
      <x:c r="K36" s="35" t="n">
        <x:f>MAX(0,MIN(10,G36+J36))</x:f>
        <x:v>9.2</x:v>
      </x:c>
      <x:c r="L36" s="35" t="n">
        <x:f>IF(Q36="Sim",85+0.5*K36,"")</x:f>
        <x:v>89.6</x:v>
      </x:c>
      <x:c r="M36" s="35" t="n">
        <x:f>IF(AND(Q36="Sim",H36="Não"),10,0)</x:f>
        <x:v>0</x:v>
      </x:c>
      <x:c r="N36" s="35" t="n">
        <x:f>ROUND(IF(Q36="Não",IF(I36="Não",0,50),MAX(IF(K36&gt;=5,75,0),L36-M36)),1)</x:f>
        <x:v>89.6</x:v>
      </x:c>
      <x:c r="O36" s="38" t="str">
        <x:f>IF(AND(K36&gt;=5,N36&gt;=75),"Aprovado","Reprovado")</x:f>
        <x:v>Aprovado</x:v>
      </x:c>
      <x:c r="P36" s="40" t="str">
        <x:v>Resultados centrais corretos; pequenas inconsistências de denominador e explicação reduzem a precisão.</x:v>
      </x:c>
      <x:c r="Q36" s="38" t="str">
        <x:f>IF(D36="Sem envio","Não","Sim")</x:f>
        <x:v>Sim</x:v>
      </x:c>
      <x:c r="R36" s="38" t="str">
        <x:f>IF(AND(Q36="Sim",H36="Sim"),"Sim","Não")</x:f>
        <x:v>Sim</x:v>
      </x:c>
      <x:c r="S36" s="32" t="n">
        <x:v>0</x:v>
      </x:c>
    </x:row>
    <x:row r="37" ht="40" customHeight="1">
      <x:c r="A37" s="28" t="str">
        <x:v>Gustavo Henrique Garcia Dutra</x:v>
      </x:c>
      <x:c r="B37" s="30" t="str">
        <x:v>15553839</x:v>
      </x:c>
      <x:c r="C37" s="26" t="str">
        <x:v>guhdutra21@usp.br</x:v>
      </x:c>
      <x:c r="D37" s="38" t="str">
        <x:v>Moodle</x:v>
      </x:c>
      <x:c r="E37" s="35" t="n">
        <x:v>10</x:v>
      </x:c>
      <x:c r="F37" s="35" t="n">
        <x:v>10</x:v>
      </x:c>
      <x:c r="G37" s="35" t="n">
        <x:v>7.6</x:v>
      </x:c>
      <x:c r="H37" s="38" t="str">
        <x:f>IF(AND(E37=10,F37=10),"Sim","Não")</x:f>
        <x:v>Sim</x:v>
      </x:c>
      <x:c r="I37" s="38" t="str">
        <x:f>IF(OR(E37=10,F37=10),"Sim","Não")</x:f>
        <x:v>Sim</x:v>
      </x:c>
      <x:c r="J37" s="35" t="n">
        <x:f>IF(R37="Sim",0.5,-0.5)</x:f>
        <x:v>0.5</x:v>
      </x:c>
      <x:c r="K37" s="35" t="n">
        <x:f>MAX(0,MIN(10,G37+J37))</x:f>
        <x:v>8.1</x:v>
      </x:c>
      <x:c r="L37" s="35" t="n">
        <x:f>IF(Q37="Sim",85+0.5*K37,"")</x:f>
        <x:v>89.05</x:v>
      </x:c>
      <x:c r="M37" s="35" t="n">
        <x:f>IF(AND(Q37="Sim",H37="Não"),10,0)</x:f>
        <x:v>0</x:v>
      </x:c>
      <x:c r="N37" s="35" t="n">
        <x:f>ROUND(IF(Q37="Não",IF(I37="Não",0,50),MAX(IF(K37&gt;=5,75,0),L37-M37)),1)</x:f>
        <x:v>89.1</x:v>
      </x:c>
      <x:c r="O37" s="38" t="str">
        <x:f>IF(AND(K37&gt;=5,N37&gt;=75),"Aprovado","Reprovado")</x:f>
        <x:v>Aprovado</x:v>
      </x:c>
      <x:c r="P37" s="40" t="str">
        <x:v>Segundo teste correto, mas o primeiro teste usa limpeza/denominadores inadequados e p-valor próximo de 0,016; discussão substantiva é limitada.</x:v>
      </x:c>
      <x:c r="Q37" s="38" t="str">
        <x:f>IF(D37="Sem envio","Não","Sim")</x:f>
        <x:v>Sim</x:v>
      </x:c>
      <x:c r="R37" s="38" t="str">
        <x:f>IF(AND(Q37="Sim",H37="Sim"),"Sim","Não")</x:f>
        <x:v>Sim</x:v>
      </x:c>
      <x:c r="S37" s="32" t="n">
        <x:v>0</x:v>
      </x:c>
    </x:row>
    <x:row r="38" ht="164" customHeight="1">
      <x:c r="A38" s="28" t="str">
        <x:v>Gustavo Lopes Rangel Madureira</x:v>
      </x:c>
      <x:c r="B38" s="30" t="str">
        <x:v>15457821</x:v>
      </x:c>
      <x:c r="C38" s="26" t="str">
        <x:v>gustavo.madureira@usp.br</x:v>
      </x:c>
      <x:c r="D38" s="38" t="str">
        <x:v>Moodle</x:v>
      </x:c>
      <x:c r="E38" s="35" t="n">
        <x:v>10</x:v>
      </x:c>
      <x:c r="F38" s="35" t="n">
        <x:v>10</x:v>
      </x:c>
      <x:c r="G38" s="35" t="n">
        <x:v>5.9</x:v>
      </x:c>
      <x:c r="H38" s="38" t="str">
        <x:f>IF(AND(E38=10,F38=10),"Sim","Não")</x:f>
        <x:v>Sim</x:v>
      </x:c>
      <x:c r="I38" s="38" t="str">
        <x:f>IF(OR(E38=10,F38=10),"Sim","Não")</x:f>
        <x:v>Sim</x:v>
      </x:c>
      <x:c r="J38" s="35" t="n">
        <x:f>IF(R38="Sim",0.5,-0.5)</x:f>
        <x:v>0.5</x:v>
      </x:c>
      <x:c r="K38" s="35" t="n">
        <x:f>MAX(0,MIN(10,G38+J38))</x:f>
        <x:v>6.4</x:v>
      </x:c>
      <x:c r="L38" s="35" t="n">
        <x:f>IF(Q38="Sim",85+0.5*K38,"")</x:f>
        <x:v>88.2</x:v>
      </x:c>
      <x:c r="M38" s="35" t="n">
        <x:f>IF(AND(Q38="Sim",H38="Não"),10,0)</x:f>
        <x:v>0</x:v>
      </x:c>
      <x:c r="N38" s="35" t="n">
        <x:f>ROUND(IF(Q38="Não",IF(I38="Não",0,50),MAX(IF(K38&gt;=5,75,0),L38-M38)),1)</x:f>
        <x:v>88.2</x:v>
      </x:c>
      <x:c r="O38" s="38" t="str">
        <x:f>IF(AND(K38&gt;=5,N38&gt;=75),"Aprovado","Reprovado")</x:f>
        <x:v>Aprovado</x:v>
      </x:c>
      <x:c r="P38" s="40" t="str">
        <x:v>Nota adotada após releitura independente cega: 5,9. O relatório identifica adequadamente artigo, MAPA, MinC e a unidade de análise e informa corretamente 1.038 linhas e 26 colunas. A validação, porém, confunde textos "NA" com ausências reais: declara exp_adm = 0, instr = 0 e exp_car = 1, quando os totais são 11, 95 e 76, e não verifica car_pub. A recodificação deixa de reconhecer três ocorrências de  1 . A descritiva usa n() como denominador bruto e apresenta MAPA n = 525, x = 482 e MinC n = 365, x = 309, em vez de 524/482 e 354/312. Também faltam os intervalos de confiança. No primeiro teste, a tabela mostra 0,8803 para o MinC, mas prop.test usa 309/365 = 0,8466, produzindo p = 0,001241 em vez de aproximadamente 0,057; as rejeições a 5% e 1% ficam erradas. Em contraste, alto_nivel é construído corretamente, com 187/525 e 155/365, e o segundo teste (p = 0,04601) é bem interpretado. A discussão de amostra maior acerta a direção do erro-padrão, mas omite 1/√2 e a redução de 29,3%.</x:v>
      </x:c>
      <x:c r="Q38" s="38" t="str">
        <x:f>IF(D38="Sem envio","Não","Sim")</x:f>
        <x:v>Sim</x:v>
      </x:c>
      <x:c r="R38" s="38" t="str">
        <x:f>IF(AND(Q38="Sim",H38="Sim"),"Sim","Não")</x:f>
        <x:v>Sim</x:v>
      </x:c>
      <x:c r="S38" s="32" t="n">
        <x:v>0</x:v>
      </x:c>
    </x:row>
    <x:row r="39" ht="40" customHeight="1">
      <x:c r="A39" s="28" t="str">
        <x:v>Isabel Chinen Nascimento Godoy</x:v>
      </x:c>
      <x:c r="B39" s="30" t="str">
        <x:v>15676771</x:v>
      </x:c>
      <x:c r="C39" s="26" t="str">
        <x:v>isabelchinen@usp.br</x:v>
      </x:c>
      <x:c r="D39" s="38" t="str">
        <x:v>Moodle</x:v>
      </x:c>
      <x:c r="E39" s="35" t="n">
        <x:v>10</x:v>
      </x:c>
      <x:c r="F39" s="35" t="n">
        <x:v>10</x:v>
      </x:c>
      <x:c r="G39" s="35" t="n">
        <x:v>8.5</x:v>
      </x:c>
      <x:c r="H39" s="38" t="str">
        <x:f>IF(AND(E39=10,F39=10),"Sim","Não")</x:f>
        <x:v>Sim</x:v>
      </x:c>
      <x:c r="I39" s="38" t="str">
        <x:f>IF(OR(E39=10,F39=10),"Sim","Não")</x:f>
        <x:v>Sim</x:v>
      </x:c>
      <x:c r="J39" s="35" t="n">
        <x:f>IF(R39="Sim",0.5,-0.5)</x:f>
        <x:v>0.5</x:v>
      </x:c>
      <x:c r="K39" s="35" t="n">
        <x:f>MAX(0,MIN(10,G39+J39))</x:f>
        <x:v>9</x:v>
      </x:c>
      <x:c r="L39" s="35" t="n">
        <x:f>IF(Q39="Sim",85+0.5*K39,"")</x:f>
        <x:v>89.5</x:v>
      </x:c>
      <x:c r="M39" s="35" t="n">
        <x:f>IF(AND(Q39="Sim",H39="Não"),10,0)</x:f>
        <x:v>0</x:v>
      </x:c>
      <x:c r="N39" s="35" t="n">
        <x:f>ROUND(IF(Q39="Não",IF(I39="Não",0,50),MAX(IF(K39&gt;=5,75,0),L39-M39)),1)</x:f>
        <x:v>89.5</x:v>
      </x:c>
      <x:c r="O39" s="38" t="str">
        <x:f>IF(AND(K39&gt;=5,N39&gt;=75),"Aprovado","Reprovado")</x:f>
        <x:v>Aprovado</x:v>
      </x:c>
      <x:c r="P39" s="40" t="str">
        <x:v>Boa cobertura, segundo teste e efeito amostral corretos; pequenas inconsistências na experiência administrativa e na validação.</x:v>
      </x:c>
      <x:c r="Q39" s="38" t="str">
        <x:f>IF(D39="Sem envio","Não","Sim")</x:f>
        <x:v>Sim</x:v>
      </x:c>
      <x:c r="R39" s="38" t="str">
        <x:f>IF(AND(Q39="Sim",H39="Sim"),"Sim","Não")</x:f>
        <x:v>Sim</x:v>
      </x:c>
      <x:c r="S39" s="32" t="n">
        <x:v>0</x:v>
      </x:c>
    </x:row>
    <x:row r="40" ht="40" customHeight="1">
      <x:c r="A40" s="28" t="str">
        <x:v>Jaqueline Lorenseti dos Santos</x:v>
      </x:c>
      <x:c r="B40" s="30" t="str">
        <x:v>13723971</x:v>
      </x:c>
      <x:c r="C40" s="26" t="str">
        <x:v>jaqueline.lorenseti@usp.br</x:v>
      </x:c>
      <x:c r="D40" s="38" t="str">
        <x:v>Sem envio</x:v>
      </x:c>
      <x:c r="E40" s="35" t="n">
        <x:v>0</x:v>
      </x:c>
      <x:c r="F40" s="35" t="n">
        <x:v>10</x:v>
      </x:c>
      <x:c r="G40" s="35" t="n">
        <x:v>0</x:v>
      </x:c>
      <x:c r="H40" s="38" t="str">
        <x:f>IF(AND(E40=10,F40=10),"Sim","Não")</x:f>
        <x:v>Não</x:v>
      </x:c>
      <x:c r="I40" s="38" t="str">
        <x:f>IF(OR(E40=10,F40=10),"Sim","Não")</x:f>
        <x:v>Sim</x:v>
      </x:c>
      <x:c r="J40" s="35" t="n">
        <x:f>IF(R40="Sim",0.5,-0.5)</x:f>
        <x:v>-0.5</x:v>
      </x:c>
      <x:c r="K40" s="35" t="n">
        <x:f>MAX(0,MIN(10,G40+J40))</x:f>
        <x:v>0</x:v>
      </x:c>
      <x:c r="L40" s="35" t="str">
        <x:f>IF(Q40="Sim",85+0.5*K40,"")</x:f>
      </x:c>
      <x:c r="M40" s="35" t="n">
        <x:f>IF(AND(Q40="Sim",H40="Não"),10,0)</x:f>
        <x:v>0</x:v>
      </x:c>
      <x:c r="N40" s="35" t="n">
        <x:f>ROUND(IF(Q40="Não",IF(I40="Não",0,50),MAX(IF(K40&gt;=5,75,0),L40-M40)),1)</x:f>
        <x:v>50</x:v>
      </x:c>
      <x:c r="O40" s="38" t="str">
        <x:f>IF(AND(K40&gt;=5,N40&gt;=75),"Aprovado","Reprovado")</x:f>
        <x:v>Reprovado</x:v>
      </x:c>
      <x:c r="P40" s="40" t="str">
        <x:v>Nenhum envio localizado no Moodle nem entre as entregas excepcionais por e-mail.</x:v>
      </x:c>
      <x:c r="Q40" s="38" t="str">
        <x:f>IF(D40="Sem envio","Não","Sim")</x:f>
        <x:v>Não</x:v>
      </x:c>
      <x:c r="R40" s="38" t="str">
        <x:f>IF(AND(Q40="Sim",H40="Sim"),"Sim","Não")</x:f>
        <x:v>Não</x:v>
      </x:c>
      <x:c r="S40" s="32" t="n">
        <x:v>0</x:v>
      </x:c>
    </x:row>
    <x:row r="41" ht="40" customHeight="1">
      <x:c r="A41" s="28" t="str">
        <x:v>Jhonathan Rafael Oliveira</x:v>
      </x:c>
      <x:c r="B41" s="30" t="str">
        <x:v>14678166</x:v>
      </x:c>
      <x:c r="C41" s="26" t="str">
        <x:v>jhonathanoliveira151@usp.br</x:v>
      </x:c>
      <x:c r="D41" s="38" t="str">
        <x:v>Sem envio</x:v>
      </x:c>
      <x:c r="E41" s="35" t="n">
        <x:v>0</x:v>
      </x:c>
      <x:c r="F41" s="35" t="n">
        <x:v>0</x:v>
      </x:c>
      <x:c r="G41" s="35" t="n">
        <x:v>0</x:v>
      </x:c>
      <x:c r="H41" s="38" t="str">
        <x:f>IF(AND(E41=10,F41=10),"Sim","Não")</x:f>
        <x:v>Não</x:v>
      </x:c>
      <x:c r="I41" s="38" t="str">
        <x:f>IF(OR(E41=10,F41=10),"Sim","Não")</x:f>
        <x:v>Não</x:v>
      </x:c>
      <x:c r="J41" s="35" t="n">
        <x:f>IF(R41="Sim",0.5,-0.5)</x:f>
        <x:v>-0.5</x:v>
      </x:c>
      <x:c r="K41" s="35" t="n">
        <x:f>MAX(0,MIN(10,G41+J41))</x:f>
        <x:v>0</x:v>
      </x:c>
      <x:c r="L41" s="35" t="str">
        <x:f>IF(Q41="Sim",85+0.5*K41,"")</x:f>
      </x:c>
      <x:c r="M41" s="35" t="n">
        <x:f>IF(AND(Q41="Sim",H41="Não"),10,0)</x:f>
        <x:v>0</x:v>
      </x:c>
      <x:c r="N41" s="35" t="n">
        <x:f>ROUND(IF(Q41="Não",IF(I41="Não",0,50),MAX(IF(K41&gt;=5,75,0),L41-M41)),1)</x:f>
        <x:v>0</x:v>
      </x:c>
      <x:c r="O41" s="38" t="str">
        <x:f>IF(AND(K41&gt;=5,N41&gt;=75),"Aprovado","Reprovado")</x:f>
        <x:v>Reprovado</x:v>
      </x:c>
      <x:c r="P41" s="40" t="str">
        <x:v>Nenhum envio localizado no Moodle nem entre as entregas excepcionais por e-mail.</x:v>
      </x:c>
      <x:c r="Q41" s="38" t="str">
        <x:f>IF(D41="Sem envio","Não","Sim")</x:f>
        <x:v>Não</x:v>
      </x:c>
      <x:c r="R41" s="38" t="str">
        <x:f>IF(AND(Q41="Sim",H41="Sim"),"Sim","Não")</x:f>
        <x:v>Não</x:v>
      </x:c>
      <x:c r="S41" s="32" t="n">
        <x:v>0</x:v>
      </x:c>
    </x:row>
    <x:row r="42" ht="40" customHeight="1">
      <x:c r="A42" s="28" t="str">
        <x:v>Joao Neto Campos dos Santos</x:v>
      </x:c>
      <x:c r="B42" s="30" t="str">
        <x:v>8579081</x:v>
      </x:c>
      <x:c r="C42" s="26" t="str">
        <x:v>joao.neto.santos@usp.br</x:v>
      </x:c>
      <x:c r="D42" s="38" t="str">
        <x:v>Sem envio</x:v>
      </x:c>
      <x:c r="E42" s="35" t="n">
        <x:v>0</x:v>
      </x:c>
      <x:c r="F42" s="35" t="n">
        <x:v>0</x:v>
      </x:c>
      <x:c r="G42" s="35" t="n">
        <x:v>0</x:v>
      </x:c>
      <x:c r="H42" s="38" t="str">
        <x:f>IF(AND(E42=10,F42=10),"Sim","Não")</x:f>
        <x:v>Não</x:v>
      </x:c>
      <x:c r="I42" s="38" t="str">
        <x:f>IF(OR(E42=10,F42=10),"Sim","Não")</x:f>
        <x:v>Não</x:v>
      </x:c>
      <x:c r="J42" s="35" t="n">
        <x:f>IF(R42="Sim",0.5,-0.5)</x:f>
        <x:v>-0.5</x:v>
      </x:c>
      <x:c r="K42" s="35" t="n">
        <x:f>MAX(0,MIN(10,G42+J42))</x:f>
        <x:v>0</x:v>
      </x:c>
      <x:c r="L42" s="35" t="str">
        <x:f>IF(Q42="Sim",85+0.5*K42,"")</x:f>
      </x:c>
      <x:c r="M42" s="35" t="n">
        <x:f>IF(AND(Q42="Sim",H42="Não"),10,0)</x:f>
        <x:v>0</x:v>
      </x:c>
      <x:c r="N42" s="35" t="n">
        <x:f>ROUND(IF(Q42="Não",IF(I42="Não",0,50),MAX(IF(K42&gt;=5,75,0),L42-M42)),1)</x:f>
        <x:v>0</x:v>
      </x:c>
      <x:c r="O42" s="38" t="str">
        <x:f>IF(AND(K42&gt;=5,N42&gt;=75),"Aprovado","Reprovado")</x:f>
        <x:v>Reprovado</x:v>
      </x:c>
      <x:c r="P42" s="40" t="str">
        <x:v>Nenhum envio localizado no Moodle nem entre as entregas excepcionais por e-mail.</x:v>
      </x:c>
      <x:c r="Q42" s="38" t="str">
        <x:f>IF(D42="Sem envio","Não","Sim")</x:f>
        <x:v>Não</x:v>
      </x:c>
      <x:c r="R42" s="38" t="str">
        <x:f>IF(AND(Q42="Sim",H42="Sim"),"Sim","Não")</x:f>
        <x:v>Não</x:v>
      </x:c>
      <x:c r="S42" s="32" t="n">
        <x:v>0</x:v>
      </x:c>
    </x:row>
    <x:row r="43" ht="40" customHeight="1">
      <x:c r="A43" s="28" t="str">
        <x:v>Joao Vitor Barbosa Mariano Ferreira</x:v>
      </x:c>
      <x:c r="B43" s="30" t="str">
        <x:v>15464083</x:v>
      </x:c>
      <x:c r="C43" s="26" t="str">
        <x:v>joao.barbosamf@usp.br</x:v>
      </x:c>
      <x:c r="D43" s="38" t="str">
        <x:v>Moodle</x:v>
      </x:c>
      <x:c r="E43" s="35" t="n">
        <x:v>10</x:v>
      </x:c>
      <x:c r="F43" s="35" t="n">
        <x:v>0</x:v>
      </x:c>
      <x:c r="G43" s="35" t="n">
        <x:v>8.9</x:v>
      </x:c>
      <x:c r="H43" s="38" t="str">
        <x:f>IF(AND(E43=10,F43=10),"Sim","Não")</x:f>
        <x:v>Não</x:v>
      </x:c>
      <x:c r="I43" s="38" t="str">
        <x:f>IF(OR(E43=10,F43=10),"Sim","Não")</x:f>
        <x:v>Sim</x:v>
      </x:c>
      <x:c r="J43" s="35" t="n">
        <x:f>IF(R43="Sim",0.5,-0.5)</x:f>
        <x:v>-0.5</x:v>
      </x:c>
      <x:c r="K43" s="35" t="n">
        <x:f>MAX(0,MIN(10,G43+J43))</x:f>
        <x:v>8.4</x:v>
      </x:c>
      <x:c r="L43" s="35" t="n">
        <x:f>IF(Q43="Sim",85+0.5*K43,"")</x:f>
        <x:v>89.2</x:v>
      </x:c>
      <x:c r="M43" s="35" t="n">
        <x:f>IF(AND(Q43="Sim",H43="Não"),10,0)</x:f>
        <x:v>10</x:v>
      </x:c>
      <x:c r="N43" s="35" t="n">
        <x:f>ROUND(IF(Q43="Não",IF(I43="Não",0,50),MAX(IF(K43&gt;=5,75,0),L43-M43)),1)</x:f>
        <x:v>79.2</x:v>
      </x:c>
      <x:c r="O43" s="38" t="str">
        <x:f>IF(AND(K43&gt;=5,N43&gt;=75),"Aprovado","Reprovado")</x:f>
        <x:v>Aprovado</x:v>
      </x:c>
      <x:c r="P43" s="40" t="str">
        <x:v>Resultados principais corretos; pequenas perdas por denominadores/limpeza e apresentação.</x:v>
      </x:c>
      <x:c r="Q43" s="38" t="str">
        <x:f>IF(D43="Sem envio","Não","Sim")</x:f>
        <x:v>Sim</x:v>
      </x:c>
      <x:c r="R43" s="38" t="str">
        <x:f>IF(AND(Q43="Sim",H43="Sim"),"Sim","Não")</x:f>
        <x:v>Não</x:v>
      </x:c>
      <x:c r="S43" s="32" t="n">
        <x:v>0</x:v>
      </x:c>
    </x:row>
    <x:row r="44" ht="40" customHeight="1">
      <x:c r="A44" s="28" t="str">
        <x:v>João Pedro Prates da Conceição Galhianne</x:v>
      </x:c>
      <x:c r="B44" s="30" t="str">
        <x:v>8682184</x:v>
      </x:c>
      <x:c r="C44" s="26" t="str">
        <x:v>joao.cgalhianne@usp.br</x:v>
      </x:c>
      <x:c r="D44" s="38" t="str">
        <x:v>Moodle</x:v>
      </x:c>
      <x:c r="E44" s="35" t="n">
        <x:v>10</x:v>
      </x:c>
      <x:c r="F44" s="35" t="n">
        <x:v>10</x:v>
      </x:c>
      <x:c r="G44" s="35" t="n">
        <x:v>9.7</x:v>
      </x:c>
      <x:c r="H44" s="38" t="str">
        <x:f>IF(AND(E44=10,F44=10),"Sim","Não")</x:f>
        <x:v>Sim</x:v>
      </x:c>
      <x:c r="I44" s="38" t="str">
        <x:f>IF(OR(E44=10,F44=10),"Sim","Não")</x:f>
        <x:v>Sim</x:v>
      </x:c>
      <x:c r="J44" s="35" t="n">
        <x:f>IF(R44="Sim",0.5,-0.5)</x:f>
        <x:v>0.5</x:v>
      </x:c>
      <x:c r="K44" s="35" t="n">
        <x:f>MAX(0,MIN(10,G44+J44))</x:f>
        <x:v>10</x:v>
      </x:c>
      <x:c r="L44" s="35" t="n">
        <x:f>IF(Q44="Sim",85+0.5*K44,"")</x:f>
        <x:v>90</x:v>
      </x:c>
      <x:c r="M44" s="35" t="n">
        <x:f>IF(AND(Q44="Sim",H44="Não"),10,0)</x:f>
        <x:v>0</x:v>
      </x:c>
      <x:c r="N44" s="35" t="n">
        <x:f>ROUND(IF(Q44="Não",IF(I44="Não",0,50),MAX(IF(K44&gt;=5,75,0),L44-M44)),1)</x:f>
        <x:v>90</x:v>
      </x:c>
      <x:c r="O44" s="38" t="str">
        <x:f>IF(AND(K44&gt;=5,N44&gt;=75),"Aprovado","Reprovado")</x:f>
        <x:v>Aprovado</x:v>
      </x:c>
      <x:c r="P44" s="40" t="str">
        <x:v>Trabalho completo, correto, claro e reprodutível; resultados alinhados ao gabarito.</x:v>
      </x:c>
      <x:c r="Q44" s="38" t="str">
        <x:f>IF(D44="Sem envio","Não","Sim")</x:f>
        <x:v>Sim</x:v>
      </x:c>
      <x:c r="R44" s="38" t="str">
        <x:f>IF(AND(Q44="Sim",H44="Sim"),"Sim","Não")</x:f>
        <x:v>Sim</x:v>
      </x:c>
      <x:c r="S44" s="32" t="n">
        <x:v>0</x:v>
      </x:c>
    </x:row>
    <x:row r="45" ht="40" customHeight="1">
      <x:c r="A45" s="28" t="str">
        <x:v>João Victor Ricchini Freire de Carvalho</x:v>
      </x:c>
      <x:c r="B45" s="30" t="str">
        <x:v>10765228</x:v>
      </x:c>
      <x:c r="C45" s="26" t="str">
        <x:v>joaovitor.ricchini@usp.br</x:v>
      </x:c>
      <x:c r="D45" s="38" t="str">
        <x:v>Moodle</x:v>
      </x:c>
      <x:c r="E45" s="35" t="n">
        <x:v>0</x:v>
      </x:c>
      <x:c r="F45" s="35" t="n">
        <x:v>10</x:v>
      </x:c>
      <x:c r="G45" s="35" t="n">
        <x:v>7.5</x:v>
      </x:c>
      <x:c r="H45" s="38" t="str">
        <x:f>IF(AND(E45=10,F45=10),"Sim","Não")</x:f>
        <x:v>Não</x:v>
      </x:c>
      <x:c r="I45" s="38" t="str">
        <x:f>IF(OR(E45=10,F45=10),"Sim","Não")</x:f>
        <x:v>Sim</x:v>
      </x:c>
      <x:c r="J45" s="35" t="n">
        <x:f>IF(R45="Sim",0.5,-0.5)</x:f>
        <x:v>-0.5</x:v>
      </x:c>
      <x:c r="K45" s="35" t="n">
        <x:f>MAX(0,MIN(10,G45+J45))</x:f>
        <x:v>7</x:v>
      </x:c>
      <x:c r="L45" s="35" t="n">
        <x:f>IF(Q45="Sim",85+0.5*K45,"")</x:f>
        <x:v>88.5</x:v>
      </x:c>
      <x:c r="M45" s="35" t="n">
        <x:f>IF(AND(Q45="Sim",H45="Não"),10,0)</x:f>
        <x:v>10</x:v>
      </x:c>
      <x:c r="N45" s="35" t="n">
        <x:f>ROUND(IF(Q45="Não",IF(I45="Não",0,50),MAX(IF(K45&gt;=5,75,0),L45-M45)),1)</x:f>
        <x:v>78.5</x:v>
      </x:c>
      <x:c r="O45" s="38" t="str">
        <x:f>IF(AND(K45&gt;=5,N45&gt;=75),"Aprovado","Reprovado")</x:f>
        <x:v>Aprovado</x:v>
      </x:c>
      <x:c r="P45" s="40" t="str">
        <x:v>Não normaliza todos os valores irregulares de exp_adm, produzindo 309/355 no MinC e p-valor 0,022; segundo teste e demais interpretações estão corretos.</x:v>
      </x:c>
      <x:c r="Q45" s="38" t="str">
        <x:f>IF(D45="Sem envio","Não","Sim")</x:f>
        <x:v>Sim</x:v>
      </x:c>
      <x:c r="R45" s="38" t="str">
        <x:f>IF(AND(Q45="Sim",H45="Sim"),"Sim","Não")</x:f>
        <x:v>Não</x:v>
      </x:c>
      <x:c r="S45" s="32" t="n">
        <x:v>0</x:v>
      </x:c>
    </x:row>
    <x:row r="46" ht="40" customHeight="1">
      <x:c r="A46" s="28" t="str">
        <x:v>João Vítor Fávero Barros</x:v>
      </x:c>
      <x:c r="B46" s="30" t="str">
        <x:v>14583212</x:v>
      </x:c>
      <x:c r="C46" s="26" t="str">
        <x:v>jvfaverobarros@usp.br</x:v>
      </x:c>
      <x:c r="D46" s="38" t="str">
        <x:v>Moodle</x:v>
      </x:c>
      <x:c r="E46" s="35" t="n">
        <x:v>10</x:v>
      </x:c>
      <x:c r="F46" s="35" t="n">
        <x:v>10</x:v>
      </x:c>
      <x:c r="G46" s="35" t="n">
        <x:v>8.7</x:v>
      </x:c>
      <x:c r="H46" s="38" t="str">
        <x:f>IF(AND(E46=10,F46=10),"Sim","Não")</x:f>
        <x:v>Sim</x:v>
      </x:c>
      <x:c r="I46" s="38" t="str">
        <x:f>IF(OR(E46=10,F46=10),"Sim","Não")</x:f>
        <x:v>Sim</x:v>
      </x:c>
      <x:c r="J46" s="35" t="n">
        <x:f>IF(R46="Sim",0.5,-0.5)</x:f>
        <x:v>0.5</x:v>
      </x:c>
      <x:c r="K46" s="35" t="n">
        <x:f>MAX(0,MIN(10,G46+J46))</x:f>
        <x:v>9.2</x:v>
      </x:c>
      <x:c r="L46" s="35" t="n">
        <x:f>IF(Q46="Sim",85+0.5*K46,"")</x:f>
        <x:v>89.6</x:v>
      </x:c>
      <x:c r="M46" s="35" t="n">
        <x:f>IF(AND(Q46="Sim",H46="Não"),10,0)</x:f>
        <x:v>0</x:v>
      </x:c>
      <x:c r="N46" s="35" t="n">
        <x:f>ROUND(IF(Q46="Não",IF(I46="Não",0,50),MAX(IF(K46&gt;=5,75,0),L46-M46)),1)</x:f>
        <x:v>89.6</x:v>
      </x:c>
      <x:c r="O46" s="38" t="str">
        <x:f>IF(AND(K46&gt;=5,N46&gt;=75),"Aprovado","Reprovado")</x:f>
        <x:v>Aprovado</x:v>
      </x:c>
      <x:c r="P46" s="40" t="str">
        <x:v>Testes centrais corretos; algumas inconsistências na tabela descritiva, validação e explicação numérica.</x:v>
      </x:c>
      <x:c r="Q46" s="38" t="str">
        <x:f>IF(D46="Sem envio","Não","Sim")</x:f>
        <x:v>Sim</x:v>
      </x:c>
      <x:c r="R46" s="38" t="str">
        <x:f>IF(AND(Q46="Sim",H46="Sim"),"Sim","Não")</x:f>
        <x:v>Sim</x:v>
      </x:c>
      <x:c r="S46" s="32" t="n">
        <x:v>0</x:v>
      </x:c>
    </x:row>
    <x:row r="47" ht="178" customHeight="1">
      <x:c r="A47" s="28" t="str">
        <x:v>Ju Magalhães</x:v>
      </x:c>
      <x:c r="B47" s="30" t="str">
        <x:v>14654997</x:v>
      </x:c>
      <x:c r="C47" s="26" t="str">
        <x:v>juliamagalhaes@usp.br</x:v>
      </x:c>
      <x:c r="D47" s="38" t="str">
        <x:v>Moodle</x:v>
      </x:c>
      <x:c r="E47" s="35" t="n">
        <x:v>10</x:v>
      </x:c>
      <x:c r="F47" s="35" t="n">
        <x:v>10</x:v>
      </x:c>
      <x:c r="G47" s="35" t="n">
        <x:v>5.4</x:v>
      </x:c>
      <x:c r="H47" s="38" t="str">
        <x:f>IF(AND(E47=10,F47=10),"Sim","Não")</x:f>
        <x:v>Sim</x:v>
      </x:c>
      <x:c r="I47" s="38" t="str">
        <x:f>IF(OR(E47=10,F47=10),"Sim","Não")</x:f>
        <x:v>Sim</x:v>
      </x:c>
      <x:c r="J47" s="35" t="n">
        <x:f>IF(R47="Sim",0.5,-0.5)</x:f>
        <x:v>0.5</x:v>
      </x:c>
      <x:c r="K47" s="35" t="n">
        <x:f>MAX(0,MIN(10,G47+J47))</x:f>
        <x:v>5.9</x:v>
      </x:c>
      <x:c r="L47" s="35" t="n">
        <x:f>IF(Q47="Sim",85+0.5*K47,"")</x:f>
        <x:v>87.95</x:v>
      </x:c>
      <x:c r="M47" s="35" t="n">
        <x:f>IF(AND(Q47="Sim",H47="Não"),10,0)</x:f>
        <x:v>0</x:v>
      </x:c>
      <x:c r="N47" s="35" t="n">
        <x:f>ROUND(IF(Q47="Não",IF(I47="Não",0,50),MAX(IF(K47&gt;=5,75,0),L47-M47)),1)</x:f>
        <x:v>88</x:v>
      </x:c>
      <x:c r="O47" s="38" t="str">
        <x:f>IF(AND(K47&gt;=5,N47&gt;=75),"Aprovado","Reprovado")</x:f>
        <x:v>Aprovado</x:v>
      </x:c>
      <x:c r="P47" s="40" t="str">
        <x:v>Nota adotada após releitura independente cega: 5,4. O relatório identifica corretamente artigo, pastas e unidade de análise e explica por que a mesma pessoa pode aparecer mais de uma vez. Registra 1.038 linhas, 26 colunas, variáveis e observações por órgão. Contudo, a estudante declara não ter conseguido calcular os valores ausentes, componente central da validação. Há tratamento parcial de código inválido, convertendo exp_adm = 3 em ausente. Na descritiva, a tabela apresenta corretamente MAPA n = 524, x = 482, p = 0,920 e MinC n = 354, x = 312, p = 0,881, além de intervalos aproximadamente corretos. A narrativa, porém, troca essas proporções por 91,5% e 85,5%, inconsistentes com a própria tabela. No primeiro teste, p = 0,05716, a direção e a rejeição a 10% estão corretos, mas o texto contraditoriamente afirma rejeição a 5%; a decisão a 1% fica incompleta. Não há construção de alto_nivel nem segundo teste. Sobre ampliar a amostra, reconhece a redução do erro-padrão, mas não apresenta 1/√2 e afirma proporcionalidade inversa direta a n. O código é fragmentário.</x:v>
      </x:c>
      <x:c r="Q47" s="38" t="str">
        <x:f>IF(D47="Sem envio","Não","Sim")</x:f>
        <x:v>Sim</x:v>
      </x:c>
      <x:c r="R47" s="38" t="str">
        <x:f>IF(AND(Q47="Sim",H47="Sim"),"Sim","Não")</x:f>
        <x:v>Sim</x:v>
      </x:c>
      <x:c r="S47" s="32" t="n">
        <x:v>0</x:v>
      </x:c>
    </x:row>
    <x:row r="48" ht="40" customHeight="1">
      <x:c r="A48" s="28" t="str">
        <x:v>Julia Franca e Castilho</x:v>
      </x:c>
      <x:c r="B48" s="30" t="str">
        <x:v>14584443</x:v>
      </x:c>
      <x:c r="C48" s="26" t="str">
        <x:v>juliafrancaecastilho@usp.br</x:v>
      </x:c>
      <x:c r="D48" s="38" t="str">
        <x:v>Moodle</x:v>
      </x:c>
      <x:c r="E48" s="35" t="n">
        <x:v>10</x:v>
      </x:c>
      <x:c r="F48" s="35" t="n">
        <x:v>10</x:v>
      </x:c>
      <x:c r="G48" s="35" t="n">
        <x:v>9.5</x:v>
      </x:c>
      <x:c r="H48" s="38" t="str">
        <x:f>IF(AND(E48=10,F48=10),"Sim","Não")</x:f>
        <x:v>Sim</x:v>
      </x:c>
      <x:c r="I48" s="38" t="str">
        <x:f>IF(OR(E48=10,F48=10),"Sim","Não")</x:f>
        <x:v>Sim</x:v>
      </x:c>
      <x:c r="J48" s="35" t="n">
        <x:f>IF(R48="Sim",0.5,-0.5)</x:f>
        <x:v>0.5</x:v>
      </x:c>
      <x:c r="K48" s="35" t="n">
        <x:f>MAX(0,MIN(10,G48+J48))</x:f>
        <x:v>10</x:v>
      </x:c>
      <x:c r="L48" s="35" t="n">
        <x:f>IF(Q48="Sim",85+0.5*K48,"")</x:f>
        <x:v>90</x:v>
      </x:c>
      <x:c r="M48" s="35" t="n">
        <x:f>IF(AND(Q48="Sim",H48="Não"),10,0)</x:f>
        <x:v>0</x:v>
      </x:c>
      <x:c r="N48" s="35" t="n">
        <x:f>ROUND(IF(Q48="Não",IF(I48="Não",0,50),MAX(IF(K48&gt;=5,75,0),L48-M48)),1)</x:f>
        <x:v>90</x:v>
      </x:c>
      <x:c r="O48" s="38" t="str">
        <x:f>IF(AND(K48&gt;=5,N48&gt;=75),"Aprovado","Reprovado")</x:f>
        <x:v>Aprovado</x:v>
      </x:c>
      <x:c r="P48" s="40" t="str">
        <x:v>Resultados, testes e interpretações corretos; pequenas perdas de apresentação.</x:v>
      </x:c>
      <x:c r="Q48" s="38" t="str">
        <x:f>IF(D48="Sem envio","Não","Sim")</x:f>
        <x:v>Sim</x:v>
      </x:c>
      <x:c r="R48" s="38" t="str">
        <x:f>IF(AND(Q48="Sim",H48="Sim"),"Sim","Não")</x:f>
        <x:v>Sim</x:v>
      </x:c>
      <x:c r="S48" s="32" t="n">
        <x:v>0</x:v>
      </x:c>
    </x:row>
    <x:row r="49" ht="40" customHeight="1">
      <x:c r="A49" s="28" t="str">
        <x:v>Jéssica de Morais Batista</x:v>
      </x:c>
      <x:c r="B49" s="30" t="str">
        <x:v>10437013</x:v>
      </x:c>
      <x:c r="C49" s="26" t="str">
        <x:v>jessica.morais@usp.br</x:v>
      </x:c>
      <x:c r="D49" s="38" t="str">
        <x:v>Moodle</x:v>
      </x:c>
      <x:c r="E49" s="35" t="n">
        <x:v>10</x:v>
      </x:c>
      <x:c r="F49" s="35" t="n">
        <x:v>10</x:v>
      </x:c>
      <x:c r="G49" s="35" t="n">
        <x:v>8.2</x:v>
      </x:c>
      <x:c r="H49" s="38" t="str">
        <x:f>IF(AND(E49=10,F49=10),"Sim","Não")</x:f>
        <x:v>Sim</x:v>
      </x:c>
      <x:c r="I49" s="38" t="str">
        <x:f>IF(OR(E49=10,F49=10),"Sim","Não")</x:f>
        <x:v>Sim</x:v>
      </x:c>
      <x:c r="J49" s="35" t="n">
        <x:f>IF(R49="Sim",0.5,-0.5)</x:f>
        <x:v>0.5</x:v>
      </x:c>
      <x:c r="K49" s="35" t="n">
        <x:f>MAX(0,MIN(10,G49+J49))</x:f>
        <x:v>8.7</x:v>
      </x:c>
      <x:c r="L49" s="35" t="n">
        <x:f>IF(Q49="Sim",85+0.5*K49,"")</x:f>
        <x:v>89.35</x:v>
      </x:c>
      <x:c r="M49" s="35" t="n">
        <x:f>IF(AND(Q49="Sim",H49="Não"),10,0)</x:f>
        <x:v>0</x:v>
      </x:c>
      <x:c r="N49" s="35" t="n">
        <x:f>ROUND(IF(Q49="Não",IF(I49="Não",0,50),MAX(IF(K49&gt;=5,75,0),L49-M49)),1)</x:f>
        <x:v>89.4</x:v>
      </x:c>
      <x:c r="O49" s="38" t="str">
        <x:f>IF(AND(K49&gt;=5,N49&gt;=75),"Aprovado","Reprovado")</x:f>
        <x:v>Aprovado</x:v>
      </x:c>
      <x:c r="P49" s="40" t="str">
        <x:v>Primeiro e segundo testes são essencialmente corretos, mas a tabela descritiva apresenta denominadores/proporções inconsistentes e há excesso de repetição.</x:v>
      </x:c>
      <x:c r="Q49" s="38" t="str">
        <x:f>IF(D49="Sem envio","Não","Sim")</x:f>
        <x:v>Sim</x:v>
      </x:c>
      <x:c r="R49" s="38" t="str">
        <x:f>IF(AND(Q49="Sim",H49="Sim"),"Sim","Não")</x:f>
        <x:v>Sim</x:v>
      </x:c>
      <x:c r="S49" s="32" t="n">
        <x:v>0</x:v>
      </x:c>
    </x:row>
    <x:row r="50" ht="164" customHeight="1">
      <x:c r="A50" s="28" t="str">
        <x:v>Lara Nunes de Lacerda</x:v>
      </x:c>
      <x:c r="B50" s="30" t="str">
        <x:v>14586921</x:v>
      </x:c>
      <x:c r="C50" s="26" t="str">
        <x:v>lara.nl@usp.br</x:v>
      </x:c>
      <x:c r="D50" s="38" t="str">
        <x:v>Moodle</x:v>
      </x:c>
      <x:c r="E50" s="35" t="n">
        <x:v>10</x:v>
      </x:c>
      <x:c r="F50" s="35" t="n">
        <x:v>10</x:v>
      </x:c>
      <x:c r="G50" s="35" t="n">
        <x:v>9.4</x:v>
      </x:c>
      <x:c r="H50" s="38" t="str">
        <x:f>IF(AND(E50=10,F50=10),"Sim","Não")</x:f>
        <x:v>Sim</x:v>
      </x:c>
      <x:c r="I50" s="38" t="str">
        <x:f>IF(OR(E50=10,F50=10),"Sim","Não")</x:f>
        <x:v>Sim</x:v>
      </x:c>
      <x:c r="J50" s="35" t="n">
        <x:f>IF(R50="Sim",0.5,-0.5)</x:f>
        <x:v>0.5</x:v>
      </x:c>
      <x:c r="K50" s="35" t="n">
        <x:f>MAX(0,MIN(10,G50+J50))</x:f>
        <x:v>9.9</x:v>
      </x:c>
      <x:c r="L50" s="35" t="n">
        <x:f>IF(Q50="Sim",85+0.5*K50,"")</x:f>
        <x:v>89.95</x:v>
      </x:c>
      <x:c r="M50" s="35" t="n">
        <x:f>IF(AND(Q50="Sim",H50="Não"),10,0)</x:f>
        <x:v>0</x:v>
      </x:c>
      <x:c r="N50" s="35" t="n">
        <x:f>ROUND(IF(Q50="Não",IF(I50="Não",0,50),MAX(IF(K50&gt;=5,75,0),L50-M50)),1)</x:f>
        <x:v>90</x:v>
      </x:c>
      <x:c r="O50" s="38" t="str">
        <x:f>IF(AND(K50&gt;=5,N50&gt;=75),"Aprovado","Reprovado")</x:f>
        <x:v>Aprovado</x:v>
      </x:c>
      <x:c r="P50" s="40" t="str">
        <x:v>Nota adotada após releitura independente cega: 9,4. A identificação do artigo, das pastas e da unidade de análise está correta. A leitura informa 1.038 linhas, 26 colunas, variáveis e os principais ausentes, incluindo exp_adm = 11, exp_car = 76, instr = 95 e car_pub = 17. Há tratamento de códigos problemáticos, mas não se registram expressamente nivel = 0 e indicacao = 0, e converter exp_car = 5 para 3 é parcialmente conjectural. Para exp_adm, os resultados estão corretos: MAPA 482/524 e MinC 312/354. Os intervalos de Wald são coerentes, mas a descrição como “95% de certeza” e “5% de erro” é imprecisa. O primeiro teste preserva o estimando, obtém diferença −0,03849 e p = 0,0573. alto_nivel, as proporções 35,62% e 42,47%, a diferença 0,06847 e p = 0,0389 também estão corretos, embora “comprovar” seja excessivo e a segunda tabela não apareça. As decisões a 10% e 1% são corretas, mas não rejeitar não permite afirmar igualdade. A redução do erro-padrão por 1/√2, de 0,02022 para 0,01429, está correta.</x:v>
      </x:c>
      <x:c r="Q50" s="38" t="str">
        <x:f>IF(D50="Sem envio","Não","Sim")</x:f>
        <x:v>Sim</x:v>
      </x:c>
      <x:c r="R50" s="38" t="str">
        <x:f>IF(AND(Q50="Sim",H50="Sim"),"Sim","Não")</x:f>
        <x:v>Sim</x:v>
      </x:c>
      <x:c r="S50" s="32" t="n">
        <x:v>0</x:v>
      </x:c>
    </x:row>
    <x:row r="51" ht="40" customHeight="1">
      <x:c r="A51" s="28" t="str">
        <x:v>Larissa Garcez Ribeiro</x:v>
      </x:c>
      <x:c r="B51" s="30" t="str">
        <x:v>14655362</x:v>
      </x:c>
      <x:c r="C51" s="26" t="str">
        <x:v>larissagarcez@usp.br</x:v>
      </x:c>
      <x:c r="D51" s="38" t="str">
        <x:v>Moodle</x:v>
      </x:c>
      <x:c r="E51" s="35" t="n">
        <x:v>10</x:v>
      </x:c>
      <x:c r="F51" s="35" t="n">
        <x:v>10</x:v>
      </x:c>
      <x:c r="G51" s="35" t="n">
        <x:v>9.6</x:v>
      </x:c>
      <x:c r="H51" s="38" t="str">
        <x:f>IF(AND(E51=10,F51=10),"Sim","Não")</x:f>
        <x:v>Sim</x:v>
      </x:c>
      <x:c r="I51" s="38" t="str">
        <x:f>IF(OR(E51=10,F51=10),"Sim","Não")</x:f>
        <x:v>Sim</x:v>
      </x:c>
      <x:c r="J51" s="35" t="n">
        <x:f>IF(R51="Sim",0.5,-0.5)</x:f>
        <x:v>0.5</x:v>
      </x:c>
      <x:c r="K51" s="35" t="n">
        <x:f>MAX(0,MIN(10,G51+J51))</x:f>
        <x:v>10</x:v>
      </x:c>
      <x:c r="L51" s="35" t="n">
        <x:f>IF(Q51="Sim",85+0.5*K51,"")</x:f>
        <x:v>90</x:v>
      </x:c>
      <x:c r="M51" s="35" t="n">
        <x:f>IF(AND(Q51="Sim",H51="Não"),10,0)</x:f>
        <x:v>0</x:v>
      </x:c>
      <x:c r="N51" s="35" t="n">
        <x:f>ROUND(IF(Q51="Não",IF(I51="Não",0,50),MAX(IF(K51&gt;=5,75,0),L51-M51)),1)</x:f>
        <x:v>90</x:v>
      </x:c>
      <x:c r="O51" s="38" t="str">
        <x:f>IF(AND(K51&gt;=5,N51&gt;=75),"Aprovado","Reprovado")</x:f>
        <x:v>Aprovado</x:v>
      </x:c>
      <x:c r="P51" s="40" t="str">
        <x:v>Trabalho completo e correto, com resultados e interpretações alinhados ao gabarito.</x:v>
      </x:c>
      <x:c r="Q51" s="38" t="str">
        <x:f>IF(D51="Sem envio","Não","Sim")</x:f>
        <x:v>Sim</x:v>
      </x:c>
      <x:c r="R51" s="38" t="str">
        <x:f>IF(AND(Q51="Sim",H51="Sim"),"Sim","Não")</x:f>
        <x:v>Sim</x:v>
      </x:c>
      <x:c r="S51" s="32" t="n">
        <x:v>0</x:v>
      </x:c>
    </x:row>
    <x:row r="52" ht="40" customHeight="1">
      <x:c r="A52" s="28" t="str">
        <x:v>Leticia Rodrigues de Sousa</x:v>
      </x:c>
      <x:c r="B52" s="30" t="str">
        <x:v>15582209</x:v>
      </x:c>
      <x:c r="C52" s="26" t="str">
        <x:v>letumrodriguesz@usp.br</x:v>
      </x:c>
      <x:c r="D52" s="38" t="str">
        <x:v>Moodle</x:v>
      </x:c>
      <x:c r="E52" s="35" t="n">
        <x:v>10</x:v>
      </x:c>
      <x:c r="F52" s="35" t="n">
        <x:v>0</x:v>
      </x:c>
      <x:c r="G52" s="35" t="n">
        <x:v>9.1</x:v>
      </x:c>
      <x:c r="H52" s="38" t="str">
        <x:f>IF(AND(E52=10,F52=10),"Sim","Não")</x:f>
        <x:v>Não</x:v>
      </x:c>
      <x:c r="I52" s="38" t="str">
        <x:f>IF(OR(E52=10,F52=10),"Sim","Não")</x:f>
        <x:v>Sim</x:v>
      </x:c>
      <x:c r="J52" s="35" t="n">
        <x:f>IF(R52="Sim",0.5,-0.5)</x:f>
        <x:v>-0.5</x:v>
      </x:c>
      <x:c r="K52" s="35" t="n">
        <x:f>MAX(0,MIN(10,G52+J52))</x:f>
        <x:v>8.6</x:v>
      </x:c>
      <x:c r="L52" s="35" t="n">
        <x:f>IF(Q52="Sim",85+0.5*K52,"")</x:f>
        <x:v>89.3</x:v>
      </x:c>
      <x:c r="M52" s="35" t="n">
        <x:f>IF(AND(Q52="Sim",H52="Não"),10,0)</x:f>
        <x:v>10</x:v>
      </x:c>
      <x:c r="N52" s="35" t="n">
        <x:f>ROUND(IF(Q52="Não",IF(I52="Não",0,50),MAX(IF(K52&gt;=5,75,0),L52-M52)),1)</x:f>
        <x:v>79.3</x:v>
      </x:c>
      <x:c r="O52" s="38" t="str">
        <x:f>IF(AND(K52&gt;=5,N52&gt;=75),"Aprovado","Reprovado")</x:f>
        <x:v>Aprovado</x:v>
      </x:c>
      <x:c r="P52" s="40" t="str">
        <x:v>Resultados inferenciais e interpretação corretos; pequenas perdas em validação e tabela descritiva.</x:v>
      </x:c>
      <x:c r="Q52" s="38" t="str">
        <x:f>IF(D52="Sem envio","Não","Sim")</x:f>
        <x:v>Sim</x:v>
      </x:c>
      <x:c r="R52" s="38" t="str">
        <x:f>IF(AND(Q52="Sim",H52="Sim"),"Sim","Não")</x:f>
        <x:v>Não</x:v>
      </x:c>
      <x:c r="S52" s="32" t="n">
        <x:v>0</x:v>
      </x:c>
    </x:row>
    <x:row r="53" ht="192" customHeight="1">
      <x:c r="A53" s="28" t="str">
        <x:v>Lincoln Antonio Andrade de Moura</x:v>
      </x:c>
      <x:c r="B53" s="30" t="str">
        <x:v>14589448</x:v>
      </x:c>
      <x:c r="C53" s="26" t="str">
        <x:v>lincolnm@usp.br</x:v>
      </x:c>
      <x:c r="D53" s="38" t="str">
        <x:v>Moodle</x:v>
      </x:c>
      <x:c r="E53" s="35" t="n">
        <x:v>10</x:v>
      </x:c>
      <x:c r="F53" s="35" t="n">
        <x:v>0</x:v>
      </x:c>
      <x:c r="G53" s="35" t="n">
        <x:v>8.3</x:v>
      </x:c>
      <x:c r="H53" s="38" t="str">
        <x:f>IF(AND(E53=10,F53=10),"Sim","Não")</x:f>
        <x:v>Não</x:v>
      </x:c>
      <x:c r="I53" s="38" t="str">
        <x:f>IF(OR(E53=10,F53=10),"Sim","Não")</x:f>
        <x:v>Sim</x:v>
      </x:c>
      <x:c r="J53" s="35" t="n">
        <x:f>IF(R53="Sim",0.5,-0.5)</x:f>
        <x:v>-0.5</x:v>
      </x:c>
      <x:c r="K53" s="35" t="n">
        <x:f>MAX(0,MIN(10,G53+J53))</x:f>
        <x:v>7.800000000000001</x:v>
      </x:c>
      <x:c r="L53" s="35" t="n">
        <x:f>IF(Q53="Sim",85+0.5*K53,"")</x:f>
        <x:v>88.9</x:v>
      </x:c>
      <x:c r="M53" s="35" t="n">
        <x:f>IF(AND(Q53="Sim",H53="Não"),10,0)</x:f>
        <x:v>10</x:v>
      </x:c>
      <x:c r="N53" s="35" t="n">
        <x:f>ROUND(IF(Q53="Não",IF(I53="Não",0,50),MAX(IF(K53&gt;=5,75,0),L53-M53)),1)</x:f>
        <x:v>78.9</x:v>
      </x:c>
      <x:c r="O53" s="38" t="str">
        <x:f>IF(AND(K53&gt;=5,N53&gt;=75),"Aprovado","Reprovado")</x:f>
        <x:v>Aprovado</x:v>
      </x:c>
      <x:c r="P53" s="40" t="str">
        <x:v>Nota adotada após releitura independente cega: 8,3. O relatório identifica artigo e pastas e explica por que uma pessoa pode reaparecer, mas descreve a unidade como “pessoas nomeadas”, sem definir com precisão que cada linha representa um ocupante/cargo observado. Informa corretamente 1.038 linhas, 26 colunas, nomes das variáveis e ausências em sete campos. Inspeciona valores de exp_adm, exp_car, nivel, instr e indicacao; contudo, a limpeza de exp_adm produz erro no MinC: n = 351 e x = 309, em vez de n = 354 e x = 312. MAPA está correto: 524, 482 e 91,98%; ambos os intervalos são informados. No teste 1, o uso de teste t sobre variável binária preserva aproximadamente o estimando e gera p = 0,0607, dentro da faixa defensável; a decisão a 5% está correta, embora a explicação do p-valor confunda riscos de erro. O segundo teste é bem executado: construção de alto_nivel, contagens exatas e p = 0,0388873, mas falta avaliar substantivamente a magnitude. As decisões a 10% e 1% estão corretas, apesar de chamar 0,0607 de alfa. Reconhece que dobrar n reduz o erro-padrão, mas omite 1/√2. Os resultados são legíveis, porém não aparece o código gerador.</x:v>
      </x:c>
      <x:c r="Q53" s="38" t="str">
        <x:f>IF(D53="Sem envio","Não","Sim")</x:f>
        <x:v>Sim</x:v>
      </x:c>
      <x:c r="R53" s="38" t="str">
        <x:f>IF(AND(Q53="Sim",H53="Sim"),"Sim","Não")</x:f>
        <x:v>Não</x:v>
      </x:c>
      <x:c r="S53" s="32" t="n">
        <x:v>0</x:v>
      </x:c>
    </x:row>
    <x:row r="54" ht="40" customHeight="1">
      <x:c r="A54" s="28" t="str">
        <x:v>Lucas Gonçalves de Lima</x:v>
      </x:c>
      <x:c r="B54" s="30" t="str">
        <x:v>11075655</x:v>
      </x:c>
      <x:c r="C54" s="26" t="str">
        <x:v>lucasglima@usp.br</x:v>
      </x:c>
      <x:c r="D54" s="38" t="str">
        <x:v>Sem envio</x:v>
      </x:c>
      <x:c r="E54" s="35" t="n">
        <x:v>0</x:v>
      </x:c>
      <x:c r="F54" s="35" t="n">
        <x:v>0</x:v>
      </x:c>
      <x:c r="G54" s="35" t="n">
        <x:v>0</x:v>
      </x:c>
      <x:c r="H54" s="38" t="str">
        <x:f>IF(AND(E54=10,F54=10),"Sim","Não")</x:f>
        <x:v>Não</x:v>
      </x:c>
      <x:c r="I54" s="38" t="str">
        <x:f>IF(OR(E54=10,F54=10),"Sim","Não")</x:f>
        <x:v>Não</x:v>
      </x:c>
      <x:c r="J54" s="35" t="n">
        <x:f>IF(R54="Sim",0.5,-0.5)</x:f>
        <x:v>-0.5</x:v>
      </x:c>
      <x:c r="K54" s="35" t="n">
        <x:f>MAX(0,MIN(10,G54+J54))</x:f>
        <x:v>0</x:v>
      </x:c>
      <x:c r="L54" s="35" t="str">
        <x:f>IF(Q54="Sim",85+0.5*K54,"")</x:f>
      </x:c>
      <x:c r="M54" s="35" t="n">
        <x:f>IF(AND(Q54="Sim",H54="Não"),10,0)</x:f>
        <x:v>0</x:v>
      </x:c>
      <x:c r="N54" s="35" t="n">
        <x:f>ROUND(IF(Q54="Não",IF(I54="Não",0,50),MAX(IF(K54&gt;=5,75,0),L54-M54)),1)</x:f>
        <x:v>0</x:v>
      </x:c>
      <x:c r="O54" s="38" t="str">
        <x:f>IF(AND(K54&gt;=5,N54&gt;=75),"Aprovado","Reprovado")</x:f>
        <x:v>Reprovado</x:v>
      </x:c>
      <x:c r="P54" s="40" t="str">
        <x:v>Nenhum envio localizado no Moodle nem entre as entregas excepcionais por e-mail.</x:v>
      </x:c>
      <x:c r="Q54" s="38" t="str">
        <x:f>IF(D54="Sem envio","Não","Sim")</x:f>
        <x:v>Não</x:v>
      </x:c>
      <x:c r="R54" s="38" t="str">
        <x:f>IF(AND(Q54="Sim",H54="Sim"),"Sim","Não")</x:f>
        <x:v>Não</x:v>
      </x:c>
      <x:c r="S54" s="32" t="n">
        <x:v>0</x:v>
      </x:c>
    </x:row>
    <x:row r="55" ht="40" customHeight="1">
      <x:c r="A55" s="28" t="str">
        <x:v>Luccas Eduardo Ferraz da Silva</x:v>
      </x:c>
      <x:c r="B55" s="30" t="str">
        <x:v>13636981</x:v>
      </x:c>
      <x:c r="C55" s="26" t="str">
        <x:v>luccas.eduardo@usp.br</x:v>
      </x:c>
      <x:c r="D55" s="38" t="str">
        <x:v>Moodle</x:v>
      </x:c>
      <x:c r="E55" s="35" t="n">
        <x:v>10</x:v>
      </x:c>
      <x:c r="F55" s="35" t="n">
        <x:v>10</x:v>
      </x:c>
      <x:c r="G55" s="35" t="n">
        <x:v>8.9</x:v>
      </x:c>
      <x:c r="H55" s="38" t="str">
        <x:f>IF(AND(E55=10,F55=10),"Sim","Não")</x:f>
        <x:v>Sim</x:v>
      </x:c>
      <x:c r="I55" s="38" t="str">
        <x:f>IF(OR(E55=10,F55=10),"Sim","Não")</x:f>
        <x:v>Sim</x:v>
      </x:c>
      <x:c r="J55" s="35" t="n">
        <x:f>IF(R55="Sim",0.5,-0.5)</x:f>
        <x:v>0.5</x:v>
      </x:c>
      <x:c r="K55" s="35" t="n">
        <x:f>MAX(0,MIN(10,G55+J55))</x:f>
        <x:v>9.4</x:v>
      </x:c>
      <x:c r="L55" s="35" t="n">
        <x:f>IF(Q55="Sim",85+0.5*K55,"")</x:f>
        <x:v>89.7</x:v>
      </x:c>
      <x:c r="M55" s="35" t="n">
        <x:f>IF(AND(Q55="Sim",H55="Não"),10,0)</x:f>
        <x:v>0</x:v>
      </x:c>
      <x:c r="N55" s="35" t="n">
        <x:f>ROUND(IF(Q55="Não",IF(I55="Não",0,50),MAX(IF(K55&gt;=5,75,0),L55-M55)),1)</x:f>
        <x:v>89.7</x:v>
      </x:c>
      <x:c r="O55" s="38" t="str">
        <x:f>IF(AND(K55&gt;=5,N55&gt;=75),"Aprovado","Reprovado")</x:f>
        <x:v>Aprovado</x:v>
      </x:c>
      <x:c r="P55" s="40" t="str">
        <x:v>Análise completa, com variantes aceitáveis dos testes; pequenas inconsistências de denominador/limpeza.</x:v>
      </x:c>
      <x:c r="Q55" s="38" t="str">
        <x:f>IF(D55="Sem envio","Não","Sim")</x:f>
        <x:v>Sim</x:v>
      </x:c>
      <x:c r="R55" s="38" t="str">
        <x:f>IF(AND(Q55="Sim",H55="Sim"),"Sim","Não")</x:f>
        <x:v>Sim</x:v>
      </x:c>
      <x:c r="S55" s="32" t="n">
        <x:v>0</x:v>
      </x:c>
    </x:row>
    <x:row r="56" ht="192" customHeight="1">
      <x:c r="A56" s="28" t="str">
        <x:v>Luiz Antonio Eleuterio de Lima</x:v>
      </x:c>
      <x:c r="B56" s="30" t="str">
        <x:v>14759962</x:v>
      </x:c>
      <x:c r="C56" s="26" t="str">
        <x:v>luiz.eleuterio@usp.br</x:v>
      </x:c>
      <x:c r="D56" s="38" t="str">
        <x:v>Moodle</x:v>
      </x:c>
      <x:c r="E56" s="35" t="n">
        <x:v>10</x:v>
      </x:c>
      <x:c r="F56" s="35" t="n">
        <x:v>10</x:v>
      </x:c>
      <x:c r="G56" s="35" t="n">
        <x:v>7.7</x:v>
      </x:c>
      <x:c r="H56" s="38" t="str">
        <x:f>IF(AND(E56=10,F56=10),"Sim","Não")</x:f>
        <x:v>Sim</x:v>
      </x:c>
      <x:c r="I56" s="38" t="str">
        <x:f>IF(OR(E56=10,F56=10),"Sim","Não")</x:f>
        <x:v>Sim</x:v>
      </x:c>
      <x:c r="J56" s="35" t="n">
        <x:f>IF(R56="Sim",0.5,-0.5)</x:f>
        <x:v>0.5</x:v>
      </x:c>
      <x:c r="K56" s="35" t="n">
        <x:f>MAX(0,MIN(10,G56+J56))</x:f>
        <x:v>8.2</x:v>
      </x:c>
      <x:c r="L56" s="35" t="n">
        <x:f>IF(Q56="Sim",85+0.5*K56,"")</x:f>
        <x:v>89.1</x:v>
      </x:c>
      <x:c r="M56" s="35" t="n">
        <x:f>IF(AND(Q56="Sim",H56="Não"),10,0)</x:f>
        <x:v>0</x:v>
      </x:c>
      <x:c r="N56" s="35" t="n">
        <x:f>ROUND(IF(Q56="Não",IF(I56="Não",0,50),MAX(IF(K56&gt;=5,75,0),L56-M56)),1)</x:f>
        <x:v>89.1</x:v>
      </x:c>
      <x:c r="O56" s="38" t="str">
        <x:f>IF(AND(K56&gt;=5,N56&gt;=75),"Aprovado","Reprovado")</x:f>
        <x:v>Aprovado</x:v>
      </x:c>
      <x:c r="P56" s="40" t="str">
        <x:v>Nota adotada após releitura independente cega: 7,7. O relatório acerta a identificação do artigo, das pastas e da nomeação como unidade de análise. Informa corretamente 1.038 linhas, 26 colunas e frequências por órgão. A validação, porém, é internamente inconsistente: a Tabela 3 registra zero ausentes em instr e exp_adm e somente um em exp_car, enquanto o texto posterior encontra corretamente 95, 11 e 76. A limpeza exclui códigos tipográficos de exp_adm que deveriam ser normalizados, reduzindo indevidamente o MinC a 351 observações e 309 sucessos, em vez de 354 e 312. Isso afeta a descritiva e o primeiro teste, embora proporções, intervalos e p = 0,05187 permaneçam próximos e a decisão a 5% seja correta. Para alto_nivel, construção, contagens, proporções e p = 0,03889 estão corretos; contudo, o texto primeiro rejeita H0 e logo depois afirma o oposto, uma contradição decisória importante, e não julga claramente a magnitude substantiva. As decisões a 10% e 1% estão corretas. Ao dobrar a amostra, demonstra uma redução aproximadamente compatível com 1/√2, mas não explicita esse fator. O PDF documenta scripts, fonte e execução, embora contenha repetições e contradições.</x:v>
      </x:c>
      <x:c r="Q56" s="38" t="str">
        <x:f>IF(D56="Sem envio","Não","Sim")</x:f>
        <x:v>Sim</x:v>
      </x:c>
      <x:c r="R56" s="38" t="str">
        <x:f>IF(AND(Q56="Sim",H56="Sim"),"Sim","Não")</x:f>
        <x:v>Sim</x:v>
      </x:c>
      <x:c r="S56" s="32" t="n">
        <x:v>0</x:v>
      </x:c>
    </x:row>
    <x:row r="57" ht="40" customHeight="1">
      <x:c r="A57" s="28" t="str">
        <x:v>Luiz Fernando Lima Chaves</x:v>
      </x:c>
      <x:c r="B57" s="30" t="str">
        <x:v>14678357</x:v>
      </x:c>
      <x:c r="C57" s="26" t="str">
        <x:v>fernando.04chaves@usp.br</x:v>
      </x:c>
      <x:c r="D57" s="38" t="str">
        <x:v>Moodle</x:v>
      </x:c>
      <x:c r="E57" s="35" t="n">
        <x:v>10</x:v>
      </x:c>
      <x:c r="F57" s="35" t="n">
        <x:v>10</x:v>
      </x:c>
      <x:c r="G57" s="35" t="n">
        <x:v>9</x:v>
      </x:c>
      <x:c r="H57" s="38" t="str">
        <x:f>IF(AND(E57=10,F57=10),"Sim","Não")</x:f>
        <x:v>Sim</x:v>
      </x:c>
      <x:c r="I57" s="38" t="str">
        <x:f>IF(OR(E57=10,F57=10),"Sim","Não")</x:f>
        <x:v>Sim</x:v>
      </x:c>
      <x:c r="J57" s="35" t="n">
        <x:f>IF(R57="Sim",0.5,-0.5)</x:f>
        <x:v>0.5</x:v>
      </x:c>
      <x:c r="K57" s="35" t="n">
        <x:f>MAX(0,MIN(10,G57+J57))</x:f>
        <x:v>9.5</x:v>
      </x:c>
      <x:c r="L57" s="35" t="n">
        <x:f>IF(Q57="Sim",85+0.5*K57,"")</x:f>
        <x:v>89.75</x:v>
      </x:c>
      <x:c r="M57" s="35" t="n">
        <x:f>IF(AND(Q57="Sim",H57="Não"),10,0)</x:f>
        <x:v>0</x:v>
      </x:c>
      <x:c r="N57" s="35" t="n">
        <x:f>ROUND(IF(Q57="Não",IF(I57="Não",0,50),MAX(IF(K57&gt;=5,75,0),L57-M57)),1)</x:f>
        <x:v>89.8</x:v>
      </x:c>
      <x:c r="O57" s="38" t="str">
        <x:f>IF(AND(K57&gt;=5,N57&gt;=75),"Aprovado","Reprovado")</x:f>
        <x:v>Aprovado</x:v>
      </x:c>
      <x:c r="P57" s="40" t="str">
        <x:v>Resultados inferenciais corretos e boa interpretação; pequenas perdas na tabela descritiva e validação.</x:v>
      </x:c>
      <x:c r="Q57" s="38" t="str">
        <x:f>IF(D57="Sem envio","Não","Sim")</x:f>
        <x:v>Sim</x:v>
      </x:c>
      <x:c r="R57" s="38" t="str">
        <x:f>IF(AND(Q57="Sim",H57="Sim"),"Sim","Não")</x:f>
        <x:v>Sim</x:v>
      </x:c>
      <x:c r="S57" s="32" t="n">
        <x:v>0</x:v>
      </x:c>
    </x:row>
    <x:row r="58" ht="40" customHeight="1">
      <x:c r="A58" s="28" t="str">
        <x:v>Maria Luisa Reis Melo</x:v>
      </x:c>
      <x:c r="B58" s="30" t="str">
        <x:v>16889846</x:v>
      </x:c>
      <x:c r="C58" s="26" t="str">
        <x:v>malu.reismelo@usp.br</x:v>
      </x:c>
      <x:c r="D58" s="38" t="str">
        <x:v>Moodle</x:v>
      </x:c>
      <x:c r="E58" s="35" t="n">
        <x:v>10</x:v>
      </x:c>
      <x:c r="F58" s="35" t="n">
        <x:v>10</x:v>
      </x:c>
      <x:c r="G58" s="35" t="n">
        <x:v>9.6</x:v>
      </x:c>
      <x:c r="H58" s="38" t="str">
        <x:f>IF(AND(E58=10,F58=10),"Sim","Não")</x:f>
        <x:v>Sim</x:v>
      </x:c>
      <x:c r="I58" s="38" t="str">
        <x:f>IF(OR(E58=10,F58=10),"Sim","Não")</x:f>
        <x:v>Sim</x:v>
      </x:c>
      <x:c r="J58" s="35" t="n">
        <x:f>IF(R58="Sim",0.5,-0.5)</x:f>
        <x:v>0.5</x:v>
      </x:c>
      <x:c r="K58" s="35" t="n">
        <x:f>MAX(0,MIN(10,G58+J58))</x:f>
        <x:v>10</x:v>
      </x:c>
      <x:c r="L58" s="35" t="n">
        <x:f>IF(Q58="Sim",85+0.5*K58,"")</x:f>
        <x:v>90</x:v>
      </x:c>
      <x:c r="M58" s="35" t="n">
        <x:f>IF(AND(Q58="Sim",H58="Não"),10,0)</x:f>
        <x:v>0</x:v>
      </x:c>
      <x:c r="N58" s="35" t="n">
        <x:f>ROUND(IF(Q58="Não",IF(I58="Não",0,50),MAX(IF(K58&gt;=5,75,0),L58-M58)),1)</x:f>
        <x:v>90</x:v>
      </x:c>
      <x:c r="O58" s="38" t="str">
        <x:f>IF(AND(K58&gt;=5,N58&gt;=75),"Aprovado","Reprovado")</x:f>
        <x:v>Aprovado</x:v>
      </x:c>
      <x:c r="P58" s="40" t="str">
        <x:v>Trabalho completo, correto e bem interpretado, com resultados alinhados ao gabarito.</x:v>
      </x:c>
      <x:c r="Q58" s="38" t="str">
        <x:f>IF(D58="Sem envio","Não","Sim")</x:f>
        <x:v>Sim</x:v>
      </x:c>
      <x:c r="R58" s="38" t="str">
        <x:f>IF(AND(Q58="Sim",H58="Sim"),"Sim","Não")</x:f>
        <x:v>Sim</x:v>
      </x:c>
      <x:c r="S58" s="32" t="n">
        <x:v>0</x:v>
      </x:c>
    </x:row>
    <x:row r="59" ht="178" customHeight="1">
      <x:c r="A59" s="28" t="str">
        <x:v>Mariana Araujo Püschel</x:v>
      </x:c>
      <x:c r="B59" s="30" t="str">
        <x:v>4725594</x:v>
      </x:c>
      <x:c r="C59" s="26" t="str">
        <x:v>marianapuschel@usp.br</x:v>
      </x:c>
      <x:c r="D59" s="38" t="str">
        <x:v>Moodle</x:v>
      </x:c>
      <x:c r="E59" s="35" t="n">
        <x:v>10</x:v>
      </x:c>
      <x:c r="F59" s="35" t="n">
        <x:v>10</x:v>
      </x:c>
      <x:c r="G59" s="35" t="n">
        <x:v>5</x:v>
      </x:c>
      <x:c r="H59" s="38" t="str">
        <x:f>IF(AND(E59=10,F59=10),"Sim","Não")</x:f>
        <x:v>Sim</x:v>
      </x:c>
      <x:c r="I59" s="38" t="str">
        <x:f>IF(OR(E59=10,F59=10),"Sim","Não")</x:f>
        <x:v>Sim</x:v>
      </x:c>
      <x:c r="J59" s="35" t="n">
        <x:f>IF(R59="Sim",0.5,-0.5)</x:f>
        <x:v>0.5</x:v>
      </x:c>
      <x:c r="K59" s="35" t="n">
        <x:f>MAX(0,MIN(10,G59+J59))</x:f>
        <x:v>5.5</x:v>
      </x:c>
      <x:c r="L59" s="35" t="n">
        <x:f>IF(Q59="Sim",85+0.5*K59,"")</x:f>
        <x:v>87.75</x:v>
      </x:c>
      <x:c r="M59" s="35" t="n">
        <x:f>IF(AND(Q59="Sim",H59="Não"),10,0)</x:f>
        <x:v>0</x:v>
      </x:c>
      <x:c r="N59" s="35" t="n">
        <x:f>ROUND(IF(Q59="Não",IF(I59="Não",0,50),MAX(IF(K59&gt;=5,75,0),L59-M59)),1)</x:f>
        <x:v>87.8</x:v>
      </x:c>
      <x:c r="O59" s="38" t="str">
        <x:f>IF(AND(K59&gt;=5,N59&gt;=75),"Aprovado","Reprovado")</x:f>
        <x:v>Aprovado</x:v>
      </x:c>
      <x:c r="P59" s="40" t="str">
        <x:v>Nota final ajustada pelo docente para 5,0 (releitura independente: 4,2). Há acertos na identificação do estudo e da unidade: nomeações em MAPA e MinC, com possível repetição do indivíduo. A leitura registra 1.038 linhas, 26 colunas, variáveis e vários totais de ausências, além de códigos inesperados em exp_adm. Contudo, não trata esses códigos adequadamente e confunde as escalas de exp_car e nivel. Na descritiva, combina exp_adm e exp_car e converte ausências ou erros em ausência de experiência, produzindo MinC 309/365 = 0,8466, em vez de 312/354 = 0,8814, e MAPA 483/525 com denominador incorreto. O teste 1 retorna p = 0,000569 e rejeita a 5%, quando o teste correto tem p ≈ 0,057 e não rejeita a 5%. No segundo bloco, alto_nivel é derivada de exp_car, não de nivel = 5/6, alterando proporções, direção e p-valor: 0,3987, em vez de aproximadamente 0,0389. As decisões a 10% e 1% ficam erradas e a discussão inverte a exigência dos limiares. A apresentação é organizada, mas falta código reprodutível das recodificações-chave. Ao dobrar n, mantém os sucessos fixos e não demonstra a redução por 1/√2.</x:v>
      </x:c>
      <x:c r="Q59" s="38" t="str">
        <x:f>IF(D59="Sem envio","Não","Sim")</x:f>
        <x:v>Sim</x:v>
      </x:c>
      <x:c r="R59" s="38" t="str">
        <x:f>IF(AND(Q59="Sim",H59="Sim"),"Sim","Não")</x:f>
        <x:v>Sim</x:v>
      </x:c>
      <x:c r="S59" s="32" t="n">
        <x:v>0</x:v>
      </x:c>
    </x:row>
    <x:row r="60" ht="192" customHeight="1">
      <x:c r="A60" s="28" t="str">
        <x:v>Mariana Rodrigues Carneiro Silva</x:v>
      </x:c>
      <x:c r="B60" s="30" t="str">
        <x:v>14596738</x:v>
      </x:c>
      <x:c r="C60" s="26" t="str">
        <x:v>mariana.rodcs@usp.br</x:v>
      </x:c>
      <x:c r="D60" s="38" t="str">
        <x:v>Moodle</x:v>
      </x:c>
      <x:c r="E60" s="35" t="n">
        <x:v>10</x:v>
      </x:c>
      <x:c r="F60" s="35" t="n">
        <x:v>0</x:v>
      </x:c>
      <x:c r="G60" s="35" t="n">
        <x:v>6.3</x:v>
      </x:c>
      <x:c r="H60" s="38" t="str">
        <x:f>IF(AND(E60=10,F60=10),"Sim","Não")</x:f>
        <x:v>Não</x:v>
      </x:c>
      <x:c r="I60" s="38" t="str">
        <x:f>IF(OR(E60=10,F60=10),"Sim","Não")</x:f>
        <x:v>Sim</x:v>
      </x:c>
      <x:c r="J60" s="35" t="n">
        <x:f>IF(R60="Sim",0.5,-0.5)</x:f>
        <x:v>-0.5</x:v>
      </x:c>
      <x:c r="K60" s="35" t="n">
        <x:f>MAX(0,MIN(10,G60+J60))</x:f>
        <x:v>5.8</x:v>
      </x:c>
      <x:c r="L60" s="35" t="n">
        <x:f>IF(Q60="Sim",85+0.5*K60,"")</x:f>
        <x:v>87.9</x:v>
      </x:c>
      <x:c r="M60" s="35" t="n">
        <x:f>IF(AND(Q60="Sim",H60="Não"),10,0)</x:f>
        <x:v>10</x:v>
      </x:c>
      <x:c r="N60" s="35" t="n">
        <x:f>ROUND(IF(Q60="Não",IF(I60="Não",0,50),MAX(IF(K60&gt;=5,75,0),L60-M60)),1)</x:f>
        <x:v>77.9</x:v>
      </x:c>
      <x:c r="O60" s="38" t="str">
        <x:f>IF(AND(K60&gt;=5,N60&gt;=75),"Aprovado","Reprovado")</x:f>
        <x:v>Aprovado</x:v>
      </x:c>
      <x:c r="P60" s="40" t="str">
        <x:v>Nota adotada após releitura independente cega: 6,3. O relatório identifica adequadamente artigo, ministérios e unidade de análise, informa 1.038 × 26 e lista as variáveis. O problema central é a limpeza: colSums(is.na()) contabiliza somente ausências lógicas e retorna 0/1/0 para exp_adm/exp_car/instr, embora as tabelas exibam códigos textuais ou inválidos; car_pub não é verificada. O texto afirma que recodificaria os valores, mas o código não executa essa etapa. Isso contamina as questões 3 e 4: usa MAPA n = 525, x = 482, p = 0,9181 e MinC n = 365, x = 309, p = 0,8466, em vez de n = 524/354, x = 482/312 e p ≈ 0,9199/0,8814. O teste 1 produz p = 0,000845, incompatível com a referência p ≈ 0,057, que implica rejeição somente a 10%. Em contraste, alto_nivel é construído corretamente; as proporções 0,3562 e 0,4247 e p = 0,03889 sustentam rejeição a 5%, mas não a 1%. A discussão de alfa é conceitualmente correta, porém não decide explicitamente os dois testes. A questão sobre amostra maior acerta direção e estreitamento do intervalo, mas omite 1/√2 e a redução de 29,3%. Código e saídas são legíveis, embora a limpeza anunciada não seja executada.</x:v>
      </x:c>
      <x:c r="Q60" s="38" t="str">
        <x:f>IF(D60="Sem envio","Não","Sim")</x:f>
        <x:v>Sim</x:v>
      </x:c>
      <x:c r="R60" s="38" t="str">
        <x:f>IF(AND(Q60="Sim",H60="Sim"),"Sim","Não")</x:f>
        <x:v>Não</x:v>
      </x:c>
      <x:c r="S60" s="32" t="n">
        <x:v>0</x:v>
      </x:c>
    </x:row>
    <x:row r="61" ht="40" customHeight="1">
      <x:c r="A61" s="28" t="str">
        <x:v>Mariana Sarmento Patrone</x:v>
      </x:c>
      <x:c r="B61" s="30" t="str">
        <x:v>12234981</x:v>
      </x:c>
      <x:c r="C61" s="26" t="str">
        <x:v>marianapatrone@usp.br</x:v>
      </x:c>
      <x:c r="D61" s="38" t="str">
        <x:v>Sem envio</x:v>
      </x:c>
      <x:c r="E61" s="35" t="n">
        <x:v>0</x:v>
      </x:c>
      <x:c r="F61" s="35" t="n">
        <x:v>0</x:v>
      </x:c>
      <x:c r="G61" s="35" t="n">
        <x:v>0</x:v>
      </x:c>
      <x:c r="H61" s="38" t="str">
        <x:f>IF(AND(E61=10,F61=10),"Sim","Não")</x:f>
        <x:v>Não</x:v>
      </x:c>
      <x:c r="I61" s="38" t="str">
        <x:f>IF(OR(E61=10,F61=10),"Sim","Não")</x:f>
        <x:v>Não</x:v>
      </x:c>
      <x:c r="J61" s="35" t="n">
        <x:f>IF(R61="Sim",0.5,-0.5)</x:f>
        <x:v>-0.5</x:v>
      </x:c>
      <x:c r="K61" s="35" t="n">
        <x:f>MAX(0,MIN(10,G61+J61))</x:f>
        <x:v>0</x:v>
      </x:c>
      <x:c r="L61" s="35" t="str">
        <x:f>IF(Q61="Sim",85+0.5*K61,"")</x:f>
      </x:c>
      <x:c r="M61" s="35" t="n">
        <x:f>IF(AND(Q61="Sim",H61="Não"),10,0)</x:f>
        <x:v>0</x:v>
      </x:c>
      <x:c r="N61" s="35" t="n">
        <x:f>ROUND(IF(Q61="Não",IF(I61="Não",0,50),MAX(IF(K61&gt;=5,75,0),L61-M61)),1)</x:f>
        <x:v>0</x:v>
      </x:c>
      <x:c r="O61" s="38" t="str">
        <x:f>IF(AND(K61&gt;=5,N61&gt;=75),"Aprovado","Reprovado")</x:f>
        <x:v>Reprovado</x:v>
      </x:c>
      <x:c r="P61" s="40" t="str">
        <x:v>Nenhum envio localizado no Moodle nem entre as entregas excepcionais por e-mail.</x:v>
      </x:c>
      <x:c r="Q61" s="38" t="str">
        <x:f>IF(D61="Sem envio","Não","Sim")</x:f>
        <x:v>Não</x:v>
      </x:c>
      <x:c r="R61" s="38" t="str">
        <x:f>IF(AND(Q61="Sim",H61="Sim"),"Sim","Não")</x:f>
        <x:v>Não</x:v>
      </x:c>
      <x:c r="S61" s="32" t="n">
        <x:v>0</x:v>
      </x:c>
    </x:row>
    <x:row r="62" ht="40" customHeight="1">
      <x:c r="A62" s="28" t="str">
        <x:v>Melyssa da Mata Bortuluzi</x:v>
      </x:c>
      <x:c r="B62" s="30" t="str">
        <x:v>15524472</x:v>
      </x:c>
      <x:c r="C62" s="26" t="str">
        <x:v>melyssabortuluzi@usp.br</x:v>
      </x:c>
      <x:c r="D62" s="38" t="str">
        <x:v>Moodle</x:v>
      </x:c>
      <x:c r="E62" s="35" t="n">
        <x:v>10</x:v>
      </x:c>
      <x:c r="F62" s="35" t="n">
        <x:v>10</x:v>
      </x:c>
      <x:c r="G62" s="35" t="n">
        <x:v>8.8</x:v>
      </x:c>
      <x:c r="H62" s="38" t="str">
        <x:f>IF(AND(E62=10,F62=10),"Sim","Não")</x:f>
        <x:v>Sim</x:v>
      </x:c>
      <x:c r="I62" s="38" t="str">
        <x:f>IF(OR(E62=10,F62=10),"Sim","Não")</x:f>
        <x:v>Sim</x:v>
      </x:c>
      <x:c r="J62" s="35" t="n">
        <x:f>IF(R62="Sim",0.5,-0.5)</x:f>
        <x:v>0.5</x:v>
      </x:c>
      <x:c r="K62" s="35" t="n">
        <x:f>MAX(0,MIN(10,G62+J62))</x:f>
        <x:v>9.3</x:v>
      </x:c>
      <x:c r="L62" s="35" t="n">
        <x:f>IF(Q62="Sim",85+0.5*K62,"")</x:f>
        <x:v>89.65</x:v>
      </x:c>
      <x:c r="M62" s="35" t="n">
        <x:f>IF(AND(Q62="Sim",H62="Não"),10,0)</x:f>
        <x:v>0</x:v>
      </x:c>
      <x:c r="N62" s="35" t="n">
        <x:f>ROUND(IF(Q62="Não",IF(I62="Não",0,50),MAX(IF(K62&gt;=5,75,0),L62-M62)),1)</x:f>
        <x:v>89.7</x:v>
      </x:c>
      <x:c r="O62" s="38" t="str">
        <x:f>IF(AND(K62&gt;=5,N62&gt;=75),"Aprovado","Reprovado")</x:f>
        <x:v>Aprovado</x:v>
      </x:c>
      <x:c r="P62" s="40" t="str">
        <x:v>Testes e conclusões principais corretos; pequenas inconsistências na tabela descritiva e na validação.</x:v>
      </x:c>
      <x:c r="Q62" s="38" t="str">
        <x:f>IF(D62="Sem envio","Não","Sim")</x:f>
        <x:v>Sim</x:v>
      </x:c>
      <x:c r="R62" s="38" t="str">
        <x:f>IF(AND(Q62="Sim",H62="Sim"),"Sim","Não")</x:f>
        <x:v>Sim</x:v>
      </x:c>
      <x:c r="S62" s="32" t="n">
        <x:v>0</x:v>
      </x:c>
    </x:row>
    <x:row r="63" ht="40" customHeight="1">
      <x:c r="A63" s="28" t="str">
        <x:v>Mirela Gabriela Martins de Mattos</x:v>
      </x:c>
      <x:c r="B63" s="30" t="str">
        <x:v>15361241</x:v>
      </x:c>
      <x:c r="C63" s="26" t="str">
        <x:v>mirela.mattos@usp.br</x:v>
      </x:c>
      <x:c r="D63" s="38" t="str">
        <x:v>Moodle</x:v>
      </x:c>
      <x:c r="E63" s="35" t="n">
        <x:v>10</x:v>
      </x:c>
      <x:c r="F63" s="35" t="n">
        <x:v>10</x:v>
      </x:c>
      <x:c r="G63" s="35" t="n">
        <x:v>8.7</x:v>
      </x:c>
      <x:c r="H63" s="38" t="str">
        <x:f>IF(AND(E63=10,F63=10),"Sim","Não")</x:f>
        <x:v>Sim</x:v>
      </x:c>
      <x:c r="I63" s="38" t="str">
        <x:f>IF(OR(E63=10,F63=10),"Sim","Não")</x:f>
        <x:v>Sim</x:v>
      </x:c>
      <x:c r="J63" s="35" t="n">
        <x:f>IF(R63="Sim",0.5,-0.5)</x:f>
        <x:v>0.5</x:v>
      </x:c>
      <x:c r="K63" s="35" t="n">
        <x:f>MAX(0,MIN(10,G63+J63))</x:f>
        <x:v>9.2</x:v>
      </x:c>
      <x:c r="L63" s="35" t="n">
        <x:f>IF(Q63="Sim",85+0.5*K63,"")</x:f>
        <x:v>89.6</x:v>
      </x:c>
      <x:c r="M63" s="35" t="n">
        <x:f>IF(AND(Q63="Sim",H63="Não"),10,0)</x:f>
        <x:v>0</x:v>
      </x:c>
      <x:c r="N63" s="35" t="n">
        <x:f>ROUND(IF(Q63="Não",IF(I63="Não",0,50),MAX(IF(K63&gt;=5,75,0),L63-M63)),1)</x:f>
        <x:v>89.6</x:v>
      </x:c>
      <x:c r="O63" s="38" t="str">
        <x:f>IF(AND(K63&gt;=5,N63&gt;=75),"Aprovado","Reprovado")</x:f>
        <x:v>Aprovado</x:v>
      </x:c>
      <x:c r="P63" s="40" t="str">
        <x:v>Relatório amplo e bem interpretado; usa denominadores ligeiramente incorretos no MinC, mas preserva as conclusões centrais.</x:v>
      </x:c>
      <x:c r="Q63" s="38" t="str">
        <x:f>IF(D63="Sem envio","Não","Sim")</x:f>
        <x:v>Sim</x:v>
      </x:c>
      <x:c r="R63" s="38" t="str">
        <x:f>IF(AND(Q63="Sim",H63="Sim"),"Sim","Não")</x:f>
        <x:v>Sim</x:v>
      </x:c>
      <x:c r="S63" s="32" t="n">
        <x:v>0</x:v>
      </x:c>
    </x:row>
    <x:row r="64" ht="136" customHeight="1">
      <x:c r="A64" s="28" t="str">
        <x:v>Murilo Rocha Souto Maior</x:v>
      </x:c>
      <x:c r="B64" s="30" t="str">
        <x:v>13636574</x:v>
      </x:c>
      <x:c r="C64" s="26" t="str">
        <x:v>murilorsm@usp.br</x:v>
      </x:c>
      <x:c r="D64" s="38" t="str">
        <x:v>Moodle</x:v>
      </x:c>
      <x:c r="E64" s="35" t="n">
        <x:v>10</x:v>
      </x:c>
      <x:c r="F64" s="35" t="n">
        <x:v>10</x:v>
      </x:c>
      <x:c r="G64" s="35" t="n">
        <x:v>9.2</x:v>
      </x:c>
      <x:c r="H64" s="38" t="str">
        <x:f>IF(AND(E64=10,F64=10),"Sim","Não")</x:f>
        <x:v>Sim</x:v>
      </x:c>
      <x:c r="I64" s="38" t="str">
        <x:f>IF(OR(E64=10,F64=10),"Sim","Não")</x:f>
        <x:v>Sim</x:v>
      </x:c>
      <x:c r="J64" s="35" t="n">
        <x:f>IF(R64="Sim",0.5,-0.5)</x:f>
        <x:v>0.5</x:v>
      </x:c>
      <x:c r="K64" s="35" t="n">
        <x:f>MAX(0,MIN(10,G64+J64))</x:f>
        <x:v>9.7</x:v>
      </x:c>
      <x:c r="L64" s="35" t="n">
        <x:f>IF(Q64="Sim",85+0.5*K64,"")</x:f>
        <x:v>89.85</x:v>
      </x:c>
      <x:c r="M64" s="35" t="n">
        <x:f>IF(AND(Q64="Sim",H64="Não"),10,0)</x:f>
        <x:v>0</x:v>
      </x:c>
      <x:c r="N64" s="35" t="n">
        <x:f>ROUND(IF(Q64="Não",IF(I64="Não",0,50),MAX(IF(K64&gt;=5,75,0),L64-M64)),1)</x:f>
        <x:v>89.9</x:v>
      </x:c>
      <x:c r="O64" s="38" t="str">
        <x:f>IF(AND(K64&gt;=5,N64&gt;=75),"Aprovado","Reprovado")</x:f>
        <x:v>Aprovado</x:v>
      </x:c>
      <x:c r="P64" s="40" t="str">
        <x:v>Nota adotada após releitura independente cega: 9,2. O relatório identifica artigo, pastas e unidade, e recupera 1.038 × 26. O principal desconto está na validação: is.na() leva o texto a informar instr = 0, exp_adm = 0 e exp_car = 1, embora existam códigos textuais "NA": 95 em instr, 75 em exp_car, além de um ausente real, e 11 ausentes reais em exp_adm; somente exp_adm é explicitamente corrigida. As contagens e proporções são corretas: MAPA 482/524 e MinC 312/354. Os intervalos na tabela estão corretos, mas a narrativa apresenta valores diferentes. O teste 1 (p = 0,05716), as decisões por nível de significância, a construção de alto_nivel, o teste 2 (p = 0,03889) e a razão 0,7071 para o erro-padrão estão corretos. Não aparecem os comandos de carregamento dos pacotes.</x:v>
      </x:c>
      <x:c r="Q64" s="38" t="str">
        <x:f>IF(D64="Sem envio","Não","Sim")</x:f>
        <x:v>Sim</x:v>
      </x:c>
      <x:c r="R64" s="38" t="str">
        <x:f>IF(AND(Q64="Sim",H64="Sim"),"Sim","Não")</x:f>
        <x:v>Sim</x:v>
      </x:c>
      <x:c r="S64" s="32" t="n">
        <x:v>0</x:v>
      </x:c>
    </x:row>
    <x:row r="65" ht="164" customHeight="1">
      <x:c r="A65" s="28" t="str">
        <x:v>Nathan Henrique de Souza Fonseca</x:v>
      </x:c>
      <x:c r="B65" s="30" t="str">
        <x:v>16894387</x:v>
      </x:c>
      <x:c r="C65" s="26" t="str">
        <x:v>nathanhsouzafonseca@usp.br</x:v>
      </x:c>
      <x:c r="D65" s="38" t="str">
        <x:v>Moodle</x:v>
      </x:c>
      <x:c r="E65" s="35" t="n">
        <x:v>0</x:v>
      </x:c>
      <x:c r="F65" s="35" t="n">
        <x:v>0</x:v>
      </x:c>
      <x:c r="G65" s="35" t="n">
        <x:v>5.9</x:v>
      </x:c>
      <x:c r="H65" s="38" t="str">
        <x:f>IF(AND(E65=10,F65=10),"Sim","Não")</x:f>
        <x:v>Não</x:v>
      </x:c>
      <x:c r="I65" s="38" t="str">
        <x:f>IF(OR(E65=10,F65=10),"Sim","Não")</x:f>
        <x:v>Não</x:v>
      </x:c>
      <x:c r="J65" s="35" t="n">
        <x:f>IF(R65="Sim",0.5,-0.5)</x:f>
        <x:v>-0.5</x:v>
      </x:c>
      <x:c r="K65" s="35" t="n">
        <x:f>MAX(0,MIN(10,G65+J65))</x:f>
        <x:v>5.4</x:v>
      </x:c>
      <x:c r="L65" s="35" t="n">
        <x:f>IF(Q65="Sim",85+0.5*K65,"")</x:f>
        <x:v>87.7</x:v>
      </x:c>
      <x:c r="M65" s="35" t="n">
        <x:f>IF(AND(Q65="Sim",H65="Não"),10,0)</x:f>
        <x:v>10</x:v>
      </x:c>
      <x:c r="N65" s="35" t="n">
        <x:f>ROUND(IF(Q65="Não",IF(I65="Não",0,50),MAX(IF(K65&gt;=5,75,0),L65-M65)),1)</x:f>
        <x:v>77.7</x:v>
      </x:c>
      <x:c r="O65" s="38" t="str">
        <x:f>IF(AND(K65&gt;=5,N65&gt;=75),"Aprovado","Reprovado")</x:f>
        <x:v>Aprovado</x:v>
      </x:c>
      <x:c r="P65" s="40" t="str">
        <x:v>Nota adotada após releitura independente cega: 5,9. O relatório acerta a pergunta do artigo, a comparação e a unidade como evento de nomeação. Mostra 1.038 × 26, mas não apresenta a lista efetiva de variáveis nem as contagens de ausentes; descreve validação sem exibir resultados e usa limpeza/complete.cases que altera indevidamente as amostras. Em exp_adm, MAPA está correto: 482/524 = 0,9198; MinC aparece como 315/355 = 0,8873, em vez de 312/354 = 0,8814. O teste 1 produz p = 0,1038, fora da faixa aceitável de aproximadamente 0,052–0,074, e deixa de rejeitar a 10%. A recodificação alto_nivel = 1 para níveis 5–6 é correta; MAPA fica próximo do gabarito, mas MinC usa 152/355, em vez de 155/365. O relatório não executa o segundo teste: reutiliza p = 0,1038 de exp_adm para discutir alto_nivel, gerando conclusão errada diante de p ≈ 0,0389. A explicação sobre dobrar n é excelente: o erro-padrão cai por 1/√2, cerca de 29%. Há código, fonte, tabelas e gráficos legíveis, mas a cadeia contém uma inconsistência inferencial grave.</x:v>
      </x:c>
      <x:c r="Q65" s="38" t="str">
        <x:f>IF(D65="Sem envio","Não","Sim")</x:f>
        <x:v>Sim</x:v>
      </x:c>
      <x:c r="R65" s="38" t="str">
        <x:f>IF(AND(Q65="Sim",H65="Sim"),"Sim","Não")</x:f>
        <x:v>Não</x:v>
      </x:c>
      <x:c r="S65" s="32" t="n">
        <x:v>0</x:v>
      </x:c>
    </x:row>
    <x:row r="66" ht="40" customHeight="1">
      <x:c r="A66" s="28" t="str">
        <x:v>Nicolas Kahli Dourado Maciel</x:v>
      </x:c>
      <x:c r="B66" s="30" t="str">
        <x:v>13721986</x:v>
      </x:c>
      <x:c r="C66" s="26" t="str">
        <x:v>nicolaskahli@usp.br</x:v>
      </x:c>
      <x:c r="D66" s="38" t="str">
        <x:v>Sem envio</x:v>
      </x:c>
      <x:c r="E66" s="35" t="n">
        <x:v>0</x:v>
      </x:c>
      <x:c r="F66" s="35" t="n">
        <x:v>0</x:v>
      </x:c>
      <x:c r="G66" s="35" t="n">
        <x:v>0</x:v>
      </x:c>
      <x:c r="H66" s="38" t="str">
        <x:f>IF(AND(E66=10,F66=10),"Sim","Não")</x:f>
        <x:v>Não</x:v>
      </x:c>
      <x:c r="I66" s="38" t="str">
        <x:f>IF(OR(E66=10,F66=10),"Sim","Não")</x:f>
        <x:v>Não</x:v>
      </x:c>
      <x:c r="J66" s="35" t="n">
        <x:f>IF(R66="Sim",0.5,-0.5)</x:f>
        <x:v>-0.5</x:v>
      </x:c>
      <x:c r="K66" s="35" t="n">
        <x:f>MAX(0,MIN(10,G66+J66))</x:f>
        <x:v>0</x:v>
      </x:c>
      <x:c r="L66" s="35" t="str">
        <x:f>IF(Q66="Sim",85+0.5*K66,"")</x:f>
      </x:c>
      <x:c r="M66" s="35" t="n">
        <x:f>IF(AND(Q66="Sim",H66="Não"),10,0)</x:f>
        <x:v>0</x:v>
      </x:c>
      <x:c r="N66" s="35" t="n">
        <x:f>ROUND(IF(Q66="Não",IF(I66="Não",0,50),MAX(IF(K66&gt;=5,75,0),L66-M66)),1)</x:f>
        <x:v>0</x:v>
      </x:c>
      <x:c r="O66" s="38" t="str">
        <x:f>IF(AND(K66&gt;=5,N66&gt;=75),"Aprovado","Reprovado")</x:f>
        <x:v>Reprovado</x:v>
      </x:c>
      <x:c r="P66" s="40" t="str">
        <x:v>Nenhum envio localizado no Moodle nem entre as entregas excepcionais por e-mail.</x:v>
      </x:c>
      <x:c r="Q66" s="38" t="str">
        <x:f>IF(D66="Sem envio","Não","Sim")</x:f>
        <x:v>Não</x:v>
      </x:c>
      <x:c r="R66" s="38" t="str">
        <x:f>IF(AND(Q66="Sim",H66="Sim"),"Sim","Não")</x:f>
        <x:v>Não</x:v>
      </x:c>
      <x:c r="S66" s="32" t="n">
        <x:v>0</x:v>
      </x:c>
    </x:row>
    <x:row r="67" ht="40" customHeight="1">
      <x:c r="A67" s="28" t="str">
        <x:v>Otavio Cardoso de Moraes</x:v>
      </x:c>
      <x:c r="B67" s="30" t="str">
        <x:v>14657447</x:v>
      </x:c>
      <x:c r="C67" s="26" t="str">
        <x:v>otaviocardosodemoraes@usp.br</x:v>
      </x:c>
      <x:c r="D67" s="38" t="str">
        <x:v>Moodle</x:v>
      </x:c>
      <x:c r="E67" s="35" t="n">
        <x:v>10</x:v>
      </x:c>
      <x:c r="F67" s="35" t="n">
        <x:v>0</x:v>
      </x:c>
      <x:c r="G67" s="35" t="n">
        <x:v>9.8</x:v>
      </x:c>
      <x:c r="H67" s="38" t="str">
        <x:f>IF(AND(E67=10,F67=10),"Sim","Não")</x:f>
        <x:v>Não</x:v>
      </x:c>
      <x:c r="I67" s="38" t="str">
        <x:f>IF(OR(E67=10,F67=10),"Sim","Não")</x:f>
        <x:v>Sim</x:v>
      </x:c>
      <x:c r="J67" s="35" t="n">
        <x:f>IF(R67="Sim",0.5,-0.5)</x:f>
        <x:v>-0.5</x:v>
      </x:c>
      <x:c r="K67" s="35" t="n">
        <x:f>MAX(0,MIN(10,G67+J67))</x:f>
        <x:v>9.3</x:v>
      </x:c>
      <x:c r="L67" s="35" t="n">
        <x:f>IF(Q67="Sim",85+0.5*K67,"")</x:f>
        <x:v>89.65</x:v>
      </x:c>
      <x:c r="M67" s="35" t="n">
        <x:f>IF(AND(Q67="Sim",H67="Não"),10,0)</x:f>
        <x:v>10</x:v>
      </x:c>
      <x:c r="N67" s="35" t="n">
        <x:f>ROUND(IF(Q67="Não",IF(I67="Não",0,50),MAX(IF(K67&gt;=5,75,0),L67-M67)),1)</x:f>
        <x:v>79.7</x:v>
      </x:c>
      <x:c r="O67" s="38" t="str">
        <x:f>IF(AND(K67&gt;=5,N67&gt;=75),"Aprovado","Reprovado")</x:f>
        <x:v>Aprovado</x:v>
      </x:c>
      <x:c r="P67" s="40" t="str">
        <x:v>Trabalho completo, correto, claro e reprodutível, com resultados alinhados ao gabarito.</x:v>
      </x:c>
      <x:c r="Q67" s="38" t="str">
        <x:f>IF(D67="Sem envio","Não","Sim")</x:f>
        <x:v>Sim</x:v>
      </x:c>
      <x:c r="R67" s="38" t="str">
        <x:f>IF(AND(Q67="Sim",H67="Sim"),"Sim","Não")</x:f>
        <x:v>Não</x:v>
      </x:c>
      <x:c r="S67" s="32" t="n">
        <x:v>0</x:v>
      </x:c>
    </x:row>
    <x:row r="68" ht="40" customHeight="1">
      <x:c r="A68" s="28" t="str">
        <x:v>Paula Juliana Rubio Gonzales</x:v>
      </x:c>
      <x:c r="B68" s="30" t="str">
        <x:v>12521185</x:v>
      </x:c>
      <x:c r="C68" s="26" t="str">
        <x:v>paulagonzales@usp.br</x:v>
      </x:c>
      <x:c r="D68" s="38" t="str">
        <x:v>Sem envio</x:v>
      </x:c>
      <x:c r="E68" s="35" t="n">
        <x:v>0</x:v>
      </x:c>
      <x:c r="F68" s="35" t="n">
        <x:v>0</x:v>
      </x:c>
      <x:c r="G68" s="35" t="n">
        <x:v>0</x:v>
      </x:c>
      <x:c r="H68" s="38" t="str">
        <x:f>IF(AND(E68=10,F68=10),"Sim","Não")</x:f>
        <x:v>Não</x:v>
      </x:c>
      <x:c r="I68" s="38" t="str">
        <x:f>IF(OR(E68=10,F68=10),"Sim","Não")</x:f>
        <x:v>Não</x:v>
      </x:c>
      <x:c r="J68" s="35" t="n">
        <x:f>IF(R68="Sim",0.5,-0.5)</x:f>
        <x:v>-0.5</x:v>
      </x:c>
      <x:c r="K68" s="35" t="n">
        <x:f>MAX(0,MIN(10,G68+J68))</x:f>
        <x:v>0</x:v>
      </x:c>
      <x:c r="L68" s="35" t="str">
        <x:f>IF(Q68="Sim",85+0.5*K68,"")</x:f>
      </x:c>
      <x:c r="M68" s="35" t="n">
        <x:f>IF(AND(Q68="Sim",H68="Não"),10,0)</x:f>
        <x:v>0</x:v>
      </x:c>
      <x:c r="N68" s="35" t="n">
        <x:f>ROUND(IF(Q68="Não",IF(I68="Não",0,50),MAX(IF(K68&gt;=5,75,0),L68-M68)),1)</x:f>
        <x:v>0</x:v>
      </x:c>
      <x:c r="O68" s="38" t="str">
        <x:f>IF(AND(K68&gt;=5,N68&gt;=75),"Aprovado","Reprovado")</x:f>
        <x:v>Reprovado</x:v>
      </x:c>
      <x:c r="P68" s="40" t="str">
        <x:v>Nenhum envio localizado no Moodle nem entre as entregas excepcionais por e-mail.</x:v>
      </x:c>
      <x:c r="Q68" s="38" t="str">
        <x:f>IF(D68="Sem envio","Não","Sim")</x:f>
        <x:v>Não</x:v>
      </x:c>
      <x:c r="R68" s="38" t="str">
        <x:f>IF(AND(Q68="Sim",H68="Sim"),"Sim","Não")</x:f>
        <x:v>Não</x:v>
      </x:c>
      <x:c r="S68" s="32" t="n">
        <x:v>0</x:v>
      </x:c>
    </x:row>
    <x:row r="69" ht="40" customHeight="1">
      <x:c r="A69" s="28" t="str">
        <x:v>Pedro Henrique Abbonizio Franco</x:v>
      </x:c>
      <x:c r="B69" s="30" t="str">
        <x:v>7618206</x:v>
      </x:c>
      <x:c r="C69" s="26" t="str">
        <x:v>pedro.henrique.franco@usp.br</x:v>
      </x:c>
      <x:c r="D69" s="38" t="str">
        <x:v>Sem envio</x:v>
      </x:c>
      <x:c r="E69" s="35" t="n">
        <x:v>0</x:v>
      </x:c>
      <x:c r="F69" s="35" t="n">
        <x:v>0</x:v>
      </x:c>
      <x:c r="G69" s="35" t="n">
        <x:v>0</x:v>
      </x:c>
      <x:c r="H69" s="38" t="str">
        <x:f>IF(AND(E69=10,F69=10),"Sim","Não")</x:f>
        <x:v>Não</x:v>
      </x:c>
      <x:c r="I69" s="38" t="str">
        <x:f>IF(OR(E69=10,F69=10),"Sim","Não")</x:f>
        <x:v>Não</x:v>
      </x:c>
      <x:c r="J69" s="35" t="n">
        <x:f>IF(R69="Sim",0.5,-0.5)</x:f>
        <x:v>-0.5</x:v>
      </x:c>
      <x:c r="K69" s="35" t="n">
        <x:f>MAX(0,MIN(10,G69+J69))</x:f>
        <x:v>0</x:v>
      </x:c>
      <x:c r="L69" s="35" t="str">
        <x:f>IF(Q69="Sim",85+0.5*K69,"")</x:f>
      </x:c>
      <x:c r="M69" s="35" t="n">
        <x:f>IF(AND(Q69="Sim",H69="Não"),10,0)</x:f>
        <x:v>0</x:v>
      </x:c>
      <x:c r="N69" s="35" t="n">
        <x:f>ROUND(IF(Q69="Não",IF(I69="Não",0,50),MAX(IF(K69&gt;=5,75,0),L69-M69)),1)</x:f>
        <x:v>0</x:v>
      </x:c>
      <x:c r="O69" s="38" t="str">
        <x:f>IF(AND(K69&gt;=5,N69&gt;=75),"Aprovado","Reprovado")</x:f>
        <x:v>Reprovado</x:v>
      </x:c>
      <x:c r="P69" s="40" t="str">
        <x:v>Nenhum envio localizado no Moodle nem entre as entregas excepcionais por e-mail.</x:v>
      </x:c>
      <x:c r="Q69" s="38" t="str">
        <x:f>IF(D69="Sem envio","Não","Sim")</x:f>
        <x:v>Não</x:v>
      </x:c>
      <x:c r="R69" s="38" t="str">
        <x:f>IF(AND(Q69="Sim",H69="Sim"),"Sim","Não")</x:f>
        <x:v>Não</x:v>
      </x:c>
      <x:c r="S69" s="32" t="n">
        <x:v>0</x:v>
      </x:c>
    </x:row>
    <x:row r="70" ht="40" customHeight="1">
      <x:c r="A70" s="28" t="str">
        <x:v>Pedro Henrique Nunes Salgueiro</x:v>
      </x:c>
      <x:c r="B70" s="30" t="str">
        <x:v>11316163</x:v>
      </x:c>
      <x:c r="C70" s="26" t="str">
        <x:v>salgueiro@usp.br</x:v>
      </x:c>
      <x:c r="D70" s="38" t="str">
        <x:v>Sem envio</x:v>
      </x:c>
      <x:c r="E70" s="35" t="n">
        <x:v>10</x:v>
      </x:c>
      <x:c r="F70" s="35" t="n">
        <x:v>0</x:v>
      </x:c>
      <x:c r="G70" s="35" t="n">
        <x:v>0</x:v>
      </x:c>
      <x:c r="H70" s="38" t="str">
        <x:f>IF(AND(E70=10,F70=10),"Sim","Não")</x:f>
        <x:v>Não</x:v>
      </x:c>
      <x:c r="I70" s="38" t="str">
        <x:f>IF(OR(E70=10,F70=10),"Sim","Não")</x:f>
        <x:v>Sim</x:v>
      </x:c>
      <x:c r="J70" s="35" t="n">
        <x:f>IF(R70="Sim",0.5,-0.5)</x:f>
        <x:v>-0.5</x:v>
      </x:c>
      <x:c r="K70" s="35" t="n">
        <x:f>MAX(0,MIN(10,G70+J70))</x:f>
        <x:v>0</x:v>
      </x:c>
      <x:c r="L70" s="35" t="str">
        <x:f>IF(Q70="Sim",85+0.5*K70,"")</x:f>
      </x:c>
      <x:c r="M70" s="35" t="n">
        <x:f>IF(AND(Q70="Sim",H70="Não"),10,0)</x:f>
        <x:v>0</x:v>
      </x:c>
      <x:c r="N70" s="35" t="n">
        <x:f>ROUND(IF(Q70="Não",IF(I70="Não",0,50),MAX(IF(K70&gt;=5,75,0),L70-M70)),1)</x:f>
        <x:v>50</x:v>
      </x:c>
      <x:c r="O70" s="38" t="str">
        <x:f>IF(AND(K70&gt;=5,N70&gt;=75),"Aprovado","Reprovado")</x:f>
        <x:v>Reprovado</x:v>
      </x:c>
      <x:c r="P70" s="40" t="str">
        <x:v>Nenhum envio localizado no Moodle nem entre as entregas excepcionais por e-mail.</x:v>
      </x:c>
      <x:c r="Q70" s="38" t="str">
        <x:f>IF(D70="Sem envio","Não","Sim")</x:f>
        <x:v>Não</x:v>
      </x:c>
      <x:c r="R70" s="38" t="str">
        <x:f>IF(AND(Q70="Sim",H70="Sim"),"Sim","Não")</x:f>
        <x:v>Não</x:v>
      </x:c>
      <x:c r="S70" s="32" t="n">
        <x:v>0</x:v>
      </x:c>
    </x:row>
    <x:row r="71" ht="40" customHeight="1">
      <x:c r="A71" s="28" t="str">
        <x:v>Pedro Henrique Rocha Ribeiro Costa do Amaral</x:v>
      </x:c>
      <x:c r="B71" s="30" t="str">
        <x:v>14602925</x:v>
      </x:c>
      <x:c r="C71" s="26" t="str">
        <x:v>pedrohenriqueamaral@usp.br</x:v>
      </x:c>
      <x:c r="D71" s="38" t="str">
        <x:v>Moodle</x:v>
      </x:c>
      <x:c r="E71" s="35" t="n">
        <x:v>10</x:v>
      </x:c>
      <x:c r="F71" s="35" t="n">
        <x:v>10</x:v>
      </x:c>
      <x:c r="G71" s="35" t="n">
        <x:v>9.6</x:v>
      </x:c>
      <x:c r="H71" s="38" t="str">
        <x:f>IF(AND(E71=10,F71=10),"Sim","Não")</x:f>
        <x:v>Sim</x:v>
      </x:c>
      <x:c r="I71" s="38" t="str">
        <x:f>IF(OR(E71=10,F71=10),"Sim","Não")</x:f>
        <x:v>Sim</x:v>
      </x:c>
      <x:c r="J71" s="35" t="n">
        <x:f>IF(R71="Sim",0.5,-0.5)</x:f>
        <x:v>0.5</x:v>
      </x:c>
      <x:c r="K71" s="35" t="n">
        <x:f>MAX(0,MIN(10,G71+J71))</x:f>
        <x:v>10</x:v>
      </x:c>
      <x:c r="L71" s="35" t="n">
        <x:f>IF(Q71="Sim",85+0.5*K71,"")</x:f>
        <x:v>90</x:v>
      </x:c>
      <x:c r="M71" s="35" t="n">
        <x:f>IF(AND(Q71="Sim",H71="Não"),10,0)</x:f>
        <x:v>0</x:v>
      </x:c>
      <x:c r="N71" s="35" t="n">
        <x:f>ROUND(IF(Q71="Não",IF(I71="Não",0,50),MAX(IF(K71&gt;=5,75,0),L71-M71)),1)</x:f>
        <x:v>90</x:v>
      </x:c>
      <x:c r="O71" s="38" t="str">
        <x:f>IF(AND(K71&gt;=5,N71&gt;=75),"Aprovado","Reprovado")</x:f>
        <x:v>Aprovado</x:v>
      </x:c>
      <x:c r="P71" s="40" t="str">
        <x:v>Trabalho completo e correto; pequenas diferenças de apresentação/validação.</x:v>
      </x:c>
      <x:c r="Q71" s="38" t="str">
        <x:f>IF(D71="Sem envio","Não","Sim")</x:f>
        <x:v>Sim</x:v>
      </x:c>
      <x:c r="R71" s="38" t="str">
        <x:f>IF(AND(Q71="Sim",H71="Sim"),"Sim","Não")</x:f>
        <x:v>Sim</x:v>
      </x:c>
      <x:c r="S71" s="32" t="n">
        <x:v>0</x:v>
      </x:c>
    </x:row>
    <x:row r="72" ht="40" customHeight="1">
      <x:c r="A72" s="28" t="str">
        <x:v>Pedro Lucas Godoi</x:v>
      </x:c>
      <x:c r="B72" s="30" t="str">
        <x:v>13721516</x:v>
      </x:c>
      <x:c r="C72" s="26" t="str">
        <x:v>plgodoi@usp.br</x:v>
      </x:c>
      <x:c r="D72" s="38" t="str">
        <x:v>Moodle</x:v>
      </x:c>
      <x:c r="E72" s="35" t="n">
        <x:v>10</x:v>
      </x:c>
      <x:c r="F72" s="35" t="n">
        <x:v>10</x:v>
      </x:c>
      <x:c r="G72" s="35" t="n">
        <x:v>9.7</x:v>
      </x:c>
      <x:c r="H72" s="38" t="str">
        <x:f>IF(AND(E72=10,F72=10),"Sim","Não")</x:f>
        <x:v>Sim</x:v>
      </x:c>
      <x:c r="I72" s="38" t="str">
        <x:f>IF(OR(E72=10,F72=10),"Sim","Não")</x:f>
        <x:v>Sim</x:v>
      </x:c>
      <x:c r="J72" s="35" t="n">
        <x:f>IF(R72="Sim",0.5,-0.5)</x:f>
        <x:v>0.5</x:v>
      </x:c>
      <x:c r="K72" s="35" t="n">
        <x:f>MAX(0,MIN(10,G72+J72))</x:f>
        <x:v>10</x:v>
      </x:c>
      <x:c r="L72" s="35" t="n">
        <x:f>IF(Q72="Sim",85+0.5*K72,"")</x:f>
        <x:v>90</x:v>
      </x:c>
      <x:c r="M72" s="35" t="n">
        <x:f>IF(AND(Q72="Sim",H72="Não"),10,0)</x:f>
        <x:v>0</x:v>
      </x:c>
      <x:c r="N72" s="35" t="n">
        <x:f>ROUND(IF(Q72="Não",IF(I72="Não",0,50),MAX(IF(K72&gt;=5,75,0),L72-M72)),1)</x:f>
        <x:v>90</x:v>
      </x:c>
      <x:c r="O72" s="38" t="str">
        <x:f>IF(AND(K72&gt;=5,N72&gt;=75),"Aprovado","Reprovado")</x:f>
        <x:v>Aprovado</x:v>
      </x:c>
      <x:c r="P72" s="40" t="str">
        <x:v>Trabalho completo, correto e reprodutível, com resultados alinhados ao gabarito.</x:v>
      </x:c>
      <x:c r="Q72" s="38" t="str">
        <x:f>IF(D72="Sem envio","Não","Sim")</x:f>
        <x:v>Sim</x:v>
      </x:c>
      <x:c r="R72" s="38" t="str">
        <x:f>IF(AND(Q72="Sim",H72="Sim"),"Sim","Não")</x:f>
        <x:v>Sim</x:v>
      </x:c>
      <x:c r="S72" s="32" t="n">
        <x:v>0</x:v>
      </x:c>
    </x:row>
    <x:row r="73" ht="40" customHeight="1">
      <x:c r="A73" s="28" t="str">
        <x:v>Pedro Sombra de Souza</x:v>
      </x:c>
      <x:c r="B73" s="30" t="str">
        <x:v>13636719</x:v>
      </x:c>
      <x:c r="C73" s="26" t="str">
        <x:v>psombra@usp.br</x:v>
      </x:c>
      <x:c r="D73" s="38" t="str">
        <x:v>Moodle</x:v>
      </x:c>
      <x:c r="E73" s="35" t="n">
        <x:v>10</x:v>
      </x:c>
      <x:c r="F73" s="35" t="n">
        <x:v>10</x:v>
      </x:c>
      <x:c r="G73" s="35" t="n">
        <x:v>8.9</x:v>
      </x:c>
      <x:c r="H73" s="38" t="str">
        <x:f>IF(AND(E73=10,F73=10),"Sim","Não")</x:f>
        <x:v>Sim</x:v>
      </x:c>
      <x:c r="I73" s="38" t="str">
        <x:f>IF(OR(E73=10,F73=10),"Sim","Não")</x:f>
        <x:v>Sim</x:v>
      </x:c>
      <x:c r="J73" s="35" t="n">
        <x:f>IF(R73="Sim",0.5,-0.5)</x:f>
        <x:v>0.5</x:v>
      </x:c>
      <x:c r="K73" s="35" t="n">
        <x:f>MAX(0,MIN(10,G73+J73))</x:f>
        <x:v>9.4</x:v>
      </x:c>
      <x:c r="L73" s="35" t="n">
        <x:f>IF(Q73="Sim",85+0.5*K73,"")</x:f>
        <x:v>89.7</x:v>
      </x:c>
      <x:c r="M73" s="35" t="n">
        <x:f>IF(AND(Q73="Sim",H73="Não"),10,0)</x:f>
        <x:v>0</x:v>
      </x:c>
      <x:c r="N73" s="35" t="n">
        <x:f>ROUND(IF(Q73="Não",IF(I73="Não",0,50),MAX(IF(K73&gt;=5,75,0),L73-M73)),1)</x:f>
        <x:v>89.7</x:v>
      </x:c>
      <x:c r="O73" s="38" t="str">
        <x:f>IF(AND(K73&gt;=5,N73&gt;=75),"Aprovado","Reprovado")</x:f>
        <x:v>Aprovado</x:v>
      </x:c>
      <x:c r="P73" s="40" t="str">
        <x:v>Usa correção de continuidade, com p-valores 0,074 e 0,046 e conclusões corretas; pequenas perdas de validação/apresentação.</x:v>
      </x:c>
      <x:c r="Q73" s="38" t="str">
        <x:f>IF(D73="Sem envio","Não","Sim")</x:f>
        <x:v>Sim</x:v>
      </x:c>
      <x:c r="R73" s="38" t="str">
        <x:f>IF(AND(Q73="Sim",H73="Sim"),"Sim","Não")</x:f>
        <x:v>Sim</x:v>
      </x:c>
      <x:c r="S73" s="32" t="n">
        <x:v>0</x:v>
      </x:c>
    </x:row>
    <x:row r="74" ht="40" customHeight="1">
      <x:c r="A74" s="28" t="str">
        <x:v>Rafael Pepe Romano</x:v>
      </x:c>
      <x:c r="B74" s="30" t="str">
        <x:v>12507571</x:v>
      </x:c>
      <x:c r="C74" s="26" t="str">
        <x:v>rafaelpepe@usp.br</x:v>
      </x:c>
      <x:c r="D74" s="38" t="str">
        <x:v>Moodle</x:v>
      </x:c>
      <x:c r="E74" s="35" t="n">
        <x:v>10</x:v>
      </x:c>
      <x:c r="F74" s="35" t="n">
        <x:v>10</x:v>
      </x:c>
      <x:c r="G74" s="35" t="n">
        <x:v>9.5</x:v>
      </x:c>
      <x:c r="H74" s="38" t="str">
        <x:f>IF(AND(E74=10,F74=10),"Sim","Não")</x:f>
        <x:v>Sim</x:v>
      </x:c>
      <x:c r="I74" s="38" t="str">
        <x:f>IF(OR(E74=10,F74=10),"Sim","Não")</x:f>
        <x:v>Sim</x:v>
      </x:c>
      <x:c r="J74" s="35" t="n">
        <x:f>IF(R74="Sim",0.5,-0.5)</x:f>
        <x:v>0.5</x:v>
      </x:c>
      <x:c r="K74" s="35" t="n">
        <x:f>MAX(0,MIN(10,G74+J74))</x:f>
        <x:v>10</x:v>
      </x:c>
      <x:c r="L74" s="35" t="n">
        <x:f>IF(Q74="Sim",85+0.5*K74,"")</x:f>
        <x:v>90</x:v>
      </x:c>
      <x:c r="M74" s="35" t="n">
        <x:f>IF(AND(Q74="Sim",H74="Não"),10,0)</x:f>
        <x:v>0</x:v>
      </x:c>
      <x:c r="N74" s="35" t="n">
        <x:f>ROUND(IF(Q74="Não",IF(I74="Não",0,50),MAX(IF(K74&gt;=5,75,0),L74-M74)),1)</x:f>
        <x:v>90</x:v>
      </x:c>
      <x:c r="O74" s="38" t="str">
        <x:f>IF(AND(K74&gt;=5,N74&gt;=75),"Aprovado","Reprovado")</x:f>
        <x:v>Aprovado</x:v>
      </x:c>
      <x:c r="P74" s="40" t="str">
        <x:v>Resultados e testes corretos; pequenas perdas de apresentação e organização da entrega.</x:v>
      </x:c>
      <x:c r="Q74" s="38" t="str">
        <x:f>IF(D74="Sem envio","Não","Sim")</x:f>
        <x:v>Sim</x:v>
      </x:c>
      <x:c r="R74" s="38" t="str">
        <x:f>IF(AND(Q74="Sim",H74="Sim"),"Sim","Não")</x:f>
        <x:v>Sim</x:v>
      </x:c>
      <x:c r="S74" s="32" t="n">
        <x:v>0</x:v>
      </x:c>
    </x:row>
    <x:row r="75" ht="40" customHeight="1">
      <x:c r="A75" s="28" t="str">
        <x:v>Sara Pereira da Silva</x:v>
      </x:c>
      <x:c r="B75" s="30" t="str">
        <x:v>11816341</x:v>
      </x:c>
      <x:c r="C75" s="26" t="str">
        <x:v>sara22.pereira@usp.br</x:v>
      </x:c>
      <x:c r="D75" s="38" t="str">
        <x:v>Sem envio</x:v>
      </x:c>
      <x:c r="E75" s="35" t="n">
        <x:v>10</x:v>
      </x:c>
      <x:c r="F75" s="35" t="n">
        <x:v>0</x:v>
      </x:c>
      <x:c r="G75" s="35" t="n">
        <x:v>0</x:v>
      </x:c>
      <x:c r="H75" s="38" t="str">
        <x:f>IF(AND(E75=10,F75=10),"Sim","Não")</x:f>
        <x:v>Não</x:v>
      </x:c>
      <x:c r="I75" s="38" t="str">
        <x:f>IF(OR(E75=10,F75=10),"Sim","Não")</x:f>
        <x:v>Sim</x:v>
      </x:c>
      <x:c r="J75" s="35" t="n">
        <x:f>IF(R75="Sim",0.5,-0.5)</x:f>
        <x:v>-0.5</x:v>
      </x:c>
      <x:c r="K75" s="35" t="n">
        <x:f>MAX(0,MIN(10,G75+J75))</x:f>
        <x:v>0</x:v>
      </x:c>
      <x:c r="L75" s="35" t="str">
        <x:f>IF(Q75="Sim",85+0.5*K75,"")</x:f>
      </x:c>
      <x:c r="M75" s="35" t="n">
        <x:f>IF(AND(Q75="Sim",H75="Não"),10,0)</x:f>
        <x:v>0</x:v>
      </x:c>
      <x:c r="N75" s="35" t="n">
        <x:f>ROUND(IF(Q75="Não",IF(I75="Não",0,50),MAX(IF(K75&gt;=5,75,0),L75-M75)),1)</x:f>
        <x:v>50</x:v>
      </x:c>
      <x:c r="O75" s="38" t="str">
        <x:f>IF(AND(K75&gt;=5,N75&gt;=75),"Aprovado","Reprovado")</x:f>
        <x:v>Reprovado</x:v>
      </x:c>
      <x:c r="P75" s="40" t="str">
        <x:v>Nenhum envio localizado no Moodle nem entre as entregas excepcionais por e-mail.</x:v>
      </x:c>
      <x:c r="Q75" s="38" t="str">
        <x:f>IF(D75="Sem envio","Não","Sim")</x:f>
        <x:v>Não</x:v>
      </x:c>
      <x:c r="R75" s="38" t="str">
        <x:f>IF(AND(Q75="Sim",H75="Sim"),"Sim","Não")</x:f>
        <x:v>Não</x:v>
      </x:c>
      <x:c r="S75" s="32" t="n">
        <x:v>0</x:v>
      </x:c>
    </x:row>
    <x:row r="76" ht="40" customHeight="1">
      <x:c r="A76" s="28" t="str">
        <x:v>Teodoro de Almeida Alkmim Pimenta</x:v>
      </x:c>
      <x:c r="B76" s="30" t="str">
        <x:v>12507630</x:v>
      </x:c>
      <x:c r="C76" s="26" t="str">
        <x:v>teopimenta@usp.br</x:v>
      </x:c>
      <x:c r="D76" s="38" t="str">
        <x:v>Sem envio</x:v>
      </x:c>
      <x:c r="E76" s="35" t="n">
        <x:v>0</x:v>
      </x:c>
      <x:c r="F76" s="35" t="n">
        <x:v>10</x:v>
      </x:c>
      <x:c r="G76" s="35" t="n">
        <x:v>0</x:v>
      </x:c>
      <x:c r="H76" s="38" t="str">
        <x:f>IF(AND(E76=10,F76=10),"Sim","Não")</x:f>
        <x:v>Não</x:v>
      </x:c>
      <x:c r="I76" s="38" t="str">
        <x:f>IF(OR(E76=10,F76=10),"Sim","Não")</x:f>
        <x:v>Sim</x:v>
      </x:c>
      <x:c r="J76" s="35" t="n">
        <x:f>IF(R76="Sim",0.5,-0.5)</x:f>
        <x:v>-0.5</x:v>
      </x:c>
      <x:c r="K76" s="35" t="n">
        <x:f>MAX(0,MIN(10,G76+J76))</x:f>
        <x:v>0</x:v>
      </x:c>
      <x:c r="L76" s="35" t="str">
        <x:f>IF(Q76="Sim",85+0.5*K76,"")</x:f>
      </x:c>
      <x:c r="M76" s="35" t="n">
        <x:f>IF(AND(Q76="Sim",H76="Não"),10,0)</x:f>
        <x:v>0</x:v>
      </x:c>
      <x:c r="N76" s="35" t="n">
        <x:f>ROUND(IF(Q76="Não",IF(I76="Não",0,50),MAX(IF(K76&gt;=5,75,0),L76-M76)),1)</x:f>
        <x:v>50</x:v>
      </x:c>
      <x:c r="O76" s="38" t="str">
        <x:f>IF(AND(K76&gt;=5,N76&gt;=75),"Aprovado","Reprovado")</x:f>
        <x:v>Reprovado</x:v>
      </x:c>
      <x:c r="P76" s="40" t="str">
        <x:v>Nenhum envio localizado no Moodle nem entre as entregas excepcionais por e-mail.</x:v>
      </x:c>
      <x:c r="Q76" s="38" t="str">
        <x:f>IF(D76="Sem envio","Não","Sim")</x:f>
        <x:v>Não</x:v>
      </x:c>
      <x:c r="R76" s="38" t="str">
        <x:f>IF(AND(Q76="Sim",H76="Sim"),"Sim","Não")</x:f>
        <x:v>Não</x:v>
      </x:c>
      <x:c r="S76" s="32" t="n">
        <x:v>0</x:v>
      </x:c>
    </x:row>
    <x:row r="77" ht="40" customHeight="1">
      <x:c r="A77" s="28" t="str">
        <x:v>Thiago Simoni</x:v>
      </x:c>
      <x:c r="B77" s="30" t="str">
        <x:v>13838774</x:v>
      </x:c>
      <x:c r="C77" s="26" t="str">
        <x:v>thiago.simoni@usp.br</x:v>
      </x:c>
      <x:c r="D77" s="38" t="str">
        <x:v>Moodle</x:v>
      </x:c>
      <x:c r="E77" s="35" t="n">
        <x:v>10</x:v>
      </x:c>
      <x:c r="F77" s="35" t="n">
        <x:v>10</x:v>
      </x:c>
      <x:c r="G77" s="35" t="n">
        <x:v>8.9</x:v>
      </x:c>
      <x:c r="H77" s="38" t="str">
        <x:f>IF(AND(E77=10,F77=10),"Sim","Não")</x:f>
        <x:v>Sim</x:v>
      </x:c>
      <x:c r="I77" s="38" t="str">
        <x:f>IF(OR(E77=10,F77=10),"Sim","Não")</x:f>
        <x:v>Sim</x:v>
      </x:c>
      <x:c r="J77" s="35" t="n">
        <x:f>IF(R77="Sim",0.5,-0.5)</x:f>
        <x:v>0.5</x:v>
      </x:c>
      <x:c r="K77" s="35" t="n">
        <x:f>MAX(0,MIN(10,G77+J77))</x:f>
        <x:v>9.4</x:v>
      </x:c>
      <x:c r="L77" s="35" t="n">
        <x:f>IF(Q77="Sim",85+0.5*K77,"")</x:f>
        <x:v>89.7</x:v>
      </x:c>
      <x:c r="M77" s="35" t="n">
        <x:f>IF(AND(Q77="Sim",H77="Não"),10,0)</x:f>
        <x:v>0</x:v>
      </x:c>
      <x:c r="N77" s="35" t="n">
        <x:f>ROUND(IF(Q77="Não",IF(I77="Não",0,50),MAX(IF(K77&gt;=5,75,0),L77-M77)),1)</x:f>
        <x:v>89.7</x:v>
      </x:c>
      <x:c r="O77" s="38" t="str">
        <x:f>IF(AND(K77&gt;=5,N77&gt;=75),"Aprovado","Reprovado")</x:f>
        <x:v>Aprovado</x:v>
      </x:c>
      <x:c r="P77" s="40" t="str">
        <x:v>Resultados centrais corretos; pequenas inconsistências de denominador/limpeza e explicação.</x:v>
      </x:c>
      <x:c r="Q77" s="38" t="str">
        <x:f>IF(D77="Sem envio","Não","Sim")</x:f>
        <x:v>Sim</x:v>
      </x:c>
      <x:c r="R77" s="38" t="str">
        <x:f>IF(AND(Q77="Sim",H77="Sim"),"Sim","Não")</x:f>
        <x:v>Sim</x:v>
      </x:c>
      <x:c r="S77" s="32" t="n">
        <x:v>0</x:v>
      </x:c>
    </x:row>
    <x:row r="78" ht="40" customHeight="1">
      <x:c r="A78" s="28" t="str">
        <x:v>Veronica Maia Schlickmann Guibu</x:v>
      </x:c>
      <x:c r="B78" s="30" t="str">
        <x:v>14610153</x:v>
      </x:c>
      <x:c r="C78" s="26" t="str">
        <x:v>veronicaguibu@usp.br</x:v>
      </x:c>
      <x:c r="D78" s="38" t="str">
        <x:v>Moodle</x:v>
      </x:c>
      <x:c r="E78" s="35" t="n">
        <x:v>10</x:v>
      </x:c>
      <x:c r="F78" s="35" t="n">
        <x:v>10</x:v>
      </x:c>
      <x:c r="G78" s="35" t="n">
        <x:v>9.7</x:v>
      </x:c>
      <x:c r="H78" s="38" t="str">
        <x:f>IF(AND(E78=10,F78=10),"Sim","Não")</x:f>
        <x:v>Sim</x:v>
      </x:c>
      <x:c r="I78" s="38" t="str">
        <x:f>IF(OR(E78=10,F78=10),"Sim","Não")</x:f>
        <x:v>Sim</x:v>
      </x:c>
      <x:c r="J78" s="35" t="n">
        <x:f>IF(R78="Sim",0.5,-0.5)</x:f>
        <x:v>0.5</x:v>
      </x:c>
      <x:c r="K78" s="35" t="n">
        <x:f>MAX(0,MIN(10,G78+J78))</x:f>
        <x:v>10</x:v>
      </x:c>
      <x:c r="L78" s="35" t="n">
        <x:f>IF(Q78="Sim",85+0.5*K78,"")</x:f>
        <x:v>90</x:v>
      </x:c>
      <x:c r="M78" s="35" t="n">
        <x:f>IF(AND(Q78="Sim",H78="Não"),10,0)</x:f>
        <x:v>0</x:v>
      </x:c>
      <x:c r="N78" s="35" t="n">
        <x:f>ROUND(IF(Q78="Não",IF(I78="Não",0,50),MAX(IF(K78&gt;=5,75,0),L78-M78)),1)</x:f>
        <x:v>90</x:v>
      </x:c>
      <x:c r="O78" s="38" t="str">
        <x:f>IF(AND(K78&gt;=5,N78&gt;=75),"Aprovado","Reprovado")</x:f>
        <x:v>Aprovado</x:v>
      </x:c>
      <x:c r="P78" s="40" t="str">
        <x:v>Trabalho completo, correto, claro e reprodutível, com resultados alinhados ao gabarito.</x:v>
      </x:c>
      <x:c r="Q78" s="38" t="str">
        <x:f>IF(D78="Sem envio","Não","Sim")</x:f>
        <x:v>Sim</x:v>
      </x:c>
      <x:c r="R78" s="38" t="str">
        <x:f>IF(AND(Q78="Sim",H78="Sim"),"Sim","Não")</x:f>
        <x:v>Sim</x:v>
      </x:c>
      <x:c r="S78" s="32" t="n">
        <x:v>0</x:v>
      </x:c>
    </x:row>
    <x:row r="79" ht="40" customHeight="1">
      <x:c r="A79" s="28" t="str">
        <x:v>Vitor Barbosa Silva</x:v>
      </x:c>
      <x:c r="B79" s="30" t="str">
        <x:v>9825991</x:v>
      </x:c>
      <x:c r="C79" s="26" t="str">
        <x:v>vitor.bsilva@usp.br</x:v>
      </x:c>
      <x:c r="D79" s="38" t="str">
        <x:v>Moodle</x:v>
      </x:c>
      <x:c r="E79" s="35" t="n">
        <x:v>10</x:v>
      </x:c>
      <x:c r="F79" s="35" t="n">
        <x:v>0</x:v>
      </x:c>
      <x:c r="G79" s="35" t="n">
        <x:v>7.2</x:v>
      </x:c>
      <x:c r="H79" s="38" t="str">
        <x:f>IF(AND(E79=10,F79=10),"Sim","Não")</x:f>
        <x:v>Não</x:v>
      </x:c>
      <x:c r="I79" s="38" t="str">
        <x:f>IF(OR(E79=10,F79=10),"Sim","Não")</x:f>
        <x:v>Sim</x:v>
      </x:c>
      <x:c r="J79" s="35" t="n">
        <x:f>IF(R79="Sim",0.5,-0.5)</x:f>
        <x:v>-0.5</x:v>
      </x:c>
      <x:c r="K79" s="35" t="n">
        <x:f>MAX(0,MIN(10,G79+J79))</x:f>
        <x:v>6.7</x:v>
      </x:c>
      <x:c r="L79" s="35" t="n">
        <x:f>IF(Q79="Sim",85+0.5*K79,"")</x:f>
        <x:v>88.35</x:v>
      </x:c>
      <x:c r="M79" s="35" t="n">
        <x:f>IF(AND(Q79="Sim",H79="Não"),10,0)</x:f>
        <x:v>10</x:v>
      </x:c>
      <x:c r="N79" s="35" t="n">
        <x:f>ROUND(IF(Q79="Não",IF(I79="Não",0,50),MAX(IF(K79&gt;=5,75,0),L79-M79)),1)</x:f>
        <x:v>78.4</x:v>
      </x:c>
      <x:c r="O79" s="38" t="str">
        <x:f>IF(AND(K79&gt;=5,N79&gt;=75),"Aprovado","Reprovado")</x:f>
        <x:v>Aprovado</x:v>
      </x:c>
      <x:c r="P79" s="40" t="str">
        <x:v>Usa denominadores inadequados em exp_adm e obtém p-valor 0,0325 no primeiro teste; segundo teste e efeito amostral estão corretos.</x:v>
      </x:c>
      <x:c r="Q79" s="38" t="str">
        <x:f>IF(D79="Sem envio","Não","Sim")</x:f>
        <x:v>Sim</x:v>
      </x:c>
      <x:c r="R79" s="38" t="str">
        <x:f>IF(AND(Q79="Sim",H79="Sim"),"Sim","Não")</x:f>
        <x:v>Não</x:v>
      </x:c>
      <x:c r="S79" s="32" t="n">
        <x:v>0</x:v>
      </x:c>
    </x:row>
    <x:row r="80" ht="40" customHeight="1">
      <x:c r="A80" s="28" t="str">
        <x:v>Yasmim Aparecida Silva Almeida</x:v>
      </x:c>
      <x:c r="B80" s="30" t="str">
        <x:v>14612631</x:v>
      </x:c>
      <x:c r="C80" s="26" t="str">
        <x:v>yasmim.aparecida@usp.br</x:v>
      </x:c>
      <x:c r="D80" s="38" t="str">
        <x:v>Moodle</x:v>
      </x:c>
      <x:c r="E80" s="35" t="n">
        <x:v>10</x:v>
      </x:c>
      <x:c r="F80" s="35" t="n">
        <x:v>10</x:v>
      </x:c>
      <x:c r="G80" s="35" t="n">
        <x:v>7.5</x:v>
      </x:c>
      <x:c r="H80" s="38" t="str">
        <x:f>IF(AND(E80=10,F80=10),"Sim","Não")</x:f>
        <x:v>Sim</x:v>
      </x:c>
      <x:c r="I80" s="38" t="str">
        <x:f>IF(OR(E80=10,F80=10),"Sim","Não")</x:f>
        <x:v>Sim</x:v>
      </x:c>
      <x:c r="J80" s="35" t="n">
        <x:f>IF(R80="Sim",0.5,-0.5)</x:f>
        <x:v>0.5</x:v>
      </x:c>
      <x:c r="K80" s="35" t="n">
        <x:f>MAX(0,MIN(10,G80+J80))</x:f>
        <x:v>8</x:v>
      </x:c>
      <x:c r="L80" s="35" t="n">
        <x:f>IF(Q80="Sim",85+0.5*K80,"")</x:f>
        <x:v>89</x:v>
      </x:c>
      <x:c r="M80" s="35" t="n">
        <x:f>IF(AND(Q80="Sim",H80="Não"),10,0)</x:f>
        <x:v>0</x:v>
      </x:c>
      <x:c r="N80" s="35" t="n">
        <x:f>ROUND(IF(Q80="Não",IF(I80="Não",0,50),MAX(IF(K80&gt;=5,75,0),L80-M80)),1)</x:f>
        <x:v>89</x:v>
      </x:c>
      <x:c r="O80" s="38" t="str">
        <x:f>IF(AND(K80&gt;=5,N80&gt;=75),"Aprovado","Reprovado")</x:f>
        <x:v>Aprovado</x:v>
      </x:c>
      <x:c r="P80" s="40" t="str">
        <x:v>Usa denominadores inadequados no primeiro teste, obtendo 85,5% no MinC e p-valor 0,0028; segundo teste, níveis de significância e efeito amostral estão corretos.</x:v>
      </x:c>
      <x:c r="Q80" s="38" t="str">
        <x:f>IF(D80="Sem envio","Não","Sim")</x:f>
        <x:v>Sim</x:v>
      </x:c>
      <x:c r="R80" s="38" t="str">
        <x:f>IF(AND(Q80="Sim",H80="Sim"),"Sim","Não")</x:f>
        <x:v>Sim</x:v>
      </x:c>
      <x:c r="S80" s="32" t="n">
        <x:v>0</x:v>
      </x:c>
    </x:row>
    <x:row r="81" ht="40" customHeight="1">
      <x:c r="A81" s="28" t="str">
        <x:v>eduardo de oliveira godoy</x:v>
      </x:c>
      <x:c r="B81" s="30" t="str">
        <x:v>14567093</x:v>
      </x:c>
      <x:c r="C81" s="26" t="str">
        <x:v>godoyeduardoo@usp.br</x:v>
      </x:c>
      <x:c r="D81" s="38" t="str">
        <x:v>Moodle</x:v>
      </x:c>
      <x:c r="E81" s="35" t="n">
        <x:v>10</x:v>
      </x:c>
      <x:c r="F81" s="35" t="n">
        <x:v>10</x:v>
      </x:c>
      <x:c r="G81" s="35" t="n">
        <x:v>9</x:v>
      </x:c>
      <x:c r="H81" s="38" t="str">
        <x:f>IF(AND(E81=10,F81=10),"Sim","Não")</x:f>
        <x:v>Sim</x:v>
      </x:c>
      <x:c r="I81" s="38" t="str">
        <x:f>IF(OR(E81=10,F81=10),"Sim","Não")</x:f>
        <x:v>Sim</x:v>
      </x:c>
      <x:c r="J81" s="35" t="n">
        <x:f>IF(R81="Sim",0.5,-0.5)</x:f>
        <x:v>0.5</x:v>
      </x:c>
      <x:c r="K81" s="35" t="n">
        <x:f>MAX(0,MIN(10,G81+J81))</x:f>
        <x:v>9.5</x:v>
      </x:c>
      <x:c r="L81" s="35" t="n">
        <x:f>IF(Q81="Sim",85+0.5*K81,"")</x:f>
        <x:v>89.75</x:v>
      </x:c>
      <x:c r="M81" s="35" t="n">
        <x:f>IF(AND(Q81="Sim",H81="Não"),10,0)</x:f>
        <x:v>0</x:v>
      </x:c>
      <x:c r="N81" s="35" t="n">
        <x:f>ROUND(IF(Q81="Não",IF(I81="Não",0,50),MAX(IF(K81&gt;=5,75,0),L81-M81)),1)</x:f>
        <x:v>89.8</x:v>
      </x:c>
      <x:c r="O81" s="38" t="str">
        <x:f>IF(AND(K81&gt;=5,N81&gt;=75),"Aprovado","Reprovado")</x:f>
        <x:v>Aprovado</x:v>
      </x:c>
      <x:c r="P81" s="40" t="str">
        <x:v>Resultados e testes centrais corretos; pequenas perdas por tratamento/relato de dados e apresentação.</x:v>
      </x:c>
      <x:c r="Q81" s="38" t="str">
        <x:f>IF(D81="Sem envio","Não","Sim")</x:f>
        <x:v>Sim</x:v>
      </x:c>
      <x:c r="R81" s="38" t="str">
        <x:f>IF(AND(Q81="Sim",H81="Sim"),"Sim","Não")</x:f>
        <x:v>Sim</x:v>
      </x:c>
      <x:c r="S81" s="32" t="n">
        <x:v>0</x:v>
      </x:c>
    </x:row>
  </x:sheetData>
  <x:mergeCells>
    <x:mergeCell ref="A1:S1"/>
    <x:mergeCell ref="A2:S2"/>
  </x:mergeCells>
  <x:conditionalFormatting sqref="K8:K81">
    <x:cfRule type="colorScale" priority="1">
      <x:colorScale>
        <x:cfvo type="min"/>
        <x:cfvo type="percentile" val="60"/>
        <x:cfvo type="max"/>
        <x:color rgb="FFFCA5A5"/>
        <x:color rgb="FFFEF3C7"/>
        <x:color rgb="FF86EFAC"/>
      </x:colorScale>
    </x:cfRule>
  </x:conditionalFormatting>
  <x:conditionalFormatting sqref="N8:N81">
    <x:cfRule type="colorScale" priority="2">
      <x:colorScale>
        <x:cfvo type="min"/>
        <x:cfvo type="percentile" val="60"/>
        <x:cfvo type="max"/>
        <x:color rgb="FFFCA5A5"/>
        <x:color rgb="FFFEF3C7"/>
        <x:color rgb="FF86EFAC"/>
      </x:colorScale>
    </x:cfRule>
  </x:conditionalFormatting>
  <x:conditionalFormatting sqref="O8:O81">
    <x:cfRule type="containsText" dxfId="0" priority="3" operator="containsText" text="Aprovado"/>
    <x:cfRule type="containsText" dxfId="1" priority="4" operator="containsText" text="Reprovado"/>
  </x:conditionalFormatting>
  <x:pageMargins left="0.7" right="0.7" top="0.75" bottom="0.75" header="0.3" footer="0.3"/>
  <x:tableParts count="1">
    <x:tablePart xmlns:r="http://schemas.openxmlformats.org/officeDocument/2006/relationships" r:id="R517928004f6a4d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35" hidden="0" customWidth="1"/>
    <x:col min="4" max="4" width="69" hidden="0" customWidth="1"/>
  </x:cols>
  <x:sheetData>
    <x:row r="1" ht="34" customHeight="1">
      <x:c r="A1" s="3" t="str">
        <x:v>Regras de cálculo</x:v>
      </x:c>
      <x:c r="B1" s="3" t="str">
        <x:v>Regras de cálculo</x:v>
      </x:c>
      <x:c r="C1" s="3" t="str">
        <x:v>Regras de cálculo</x:v>
      </x:c>
      <x:c r="D1" s="3" t="str">
        <x:v>Regras de cálculo</x:v>
      </x:c>
    </x:row>
    <x:row r="2" ht="34" customHeight="1">
      <x:c r="A2" s="7" t="str">
        <x:v>Critérios solicitados pelo docente e operacionalização usada nesta planilha.</x:v>
      </x:c>
      <x:c r="B2" s="7" t="str">
        <x:v>Critérios solicitados pelo docente e operacionalização usada nesta planilha.</x:v>
      </x:c>
      <x:c r="C2" s="7" t="str">
        <x:v>Critérios solicitados pelo docente e operacionalização usada nesta planilha.</x:v>
      </x:c>
      <x:c r="D2" s="7" t="str">
        <x:v>Critérios solicitados pelo docente e operacionalização usada nesta planilha.</x:v>
      </x:c>
    </x:row>
    <x:row r="4" ht="32" customHeight="1">
      <x:c r="A4" s="19" t="str">
        <x:v>Etapa</x:v>
      </x:c>
      <x:c r="B4" s="20" t="str">
        <x:v>Regra</x:v>
      </x:c>
      <x:c r="C4" s="20" t="str">
        <x:v>Fórmula aplicada</x:v>
      </x:c>
      <x:c r="D4" s="21" t="str">
        <x:v>Observação</x:v>
      </x:c>
    </x:row>
    <x:row r="5" ht="47" customHeight="1">
      <x:c r="A5" s="61" t="n">
        <x:v>1</x:v>
      </x:c>
      <x:c r="B5" s="62" t="str">
        <x:v>Nota do trabalho</x:v>
      </x:c>
      <x:c r="C5" s="62" t="str">
        <x:v>Nota já adotada na correção anterior</x:v>
      </x:c>
      <x:c r="D5" s="62" t="str">
        <x:v>Inclui releituras independentes, ajuste de Mariana para 5,0 e os dois descontos docentes por suspeita não comprovada de IA.</x:v>
      </x:c>
    </x:row>
    <x:row r="6" ht="47" customHeight="1">
      <x:c r="A6" s="60" t="n">
        <x:v>2</x:v>
      </x:c>
      <x:c r="B6" s="40" t="str">
        <x:v>Bônus por entrega completa</x:v>
      </x:c>
      <x:c r="C6" s="40" t="str">
        <x:v>+0,5</x:v>
      </x:c>
      <x:c r="D6" s="40" t="str">
        <x:v>Aplica-se a quem entregou trabalho, Lista 1 e Lista 2.</x:v>
      </x:c>
    </x:row>
    <x:row r="7" ht="47" customHeight="1">
      <x:c r="A7" s="60" t="n">
        <x:v>3</x:v>
      </x:c>
      <x:c r="B7" s="40" t="str">
        <x:v>Desconto por entrega incompleta</x:v>
      </x:c>
      <x:c r="C7" s="40" t="str">
        <x:v>−0,5</x:v>
      </x:c>
      <x:c r="D7" s="40" t="str">
        <x:v>Aplica-se a qualquer estudante que não tenha entregue os três componentes; a nota é limitada a 0–10.</x:v>
      </x:c>
    </x:row>
    <x:row r="8" ht="47" customHeight="1">
      <x:c r="A8" s="60" t="n">
        <x:v>4</x:v>
      </x:c>
      <x:c r="B8" s="40" t="str">
        <x:v>Frequência base com trabalho</x:v>
      </x:c>
      <x:c r="C8" s="40" t="str">
        <x:v>85 + 0,5 × nota final</x:v>
      </x:c>
      <x:c r="D8" s="40" t="str">
        <x:v>Gera pouca variação por nota: 0,5 ponto percentual para cada ponto de nota.</x:v>
      </x:c>
    </x:row>
    <x:row r="9" ht="47" customHeight="1">
      <x:c r="A9" s="60" t="n">
        <x:v>5</x:v>
      </x:c>
      <x:c r="B9" s="40" t="str">
        <x:v>Desconto por lista faltante</x:v>
      </x:c>
      <x:c r="C9" s="40" t="str">
        <x:v>−10 p.p.</x:v>
      </x:c>
      <x:c r="D9" s="40" t="str">
        <x:v>Se faltar ao menos uma das duas listas, o desconto incide sobre a frequência base.</x:v>
      </x:c>
    </x:row>
    <x:row r="10" ht="47" customHeight="1">
      <x:c r="A10" s="60" t="n">
        <x:v>6</x:v>
      </x:c>
      <x:c r="B10" s="40" t="str">
        <x:v>Piso dos aprovados</x:v>
      </x:c>
      <x:c r="C10" s="40" t="str">
        <x:v>máximo entre 75% e o valor calculado</x:v>
      </x:c>
      <x:c r="D10" s="40" t="str">
        <x:v>Passar exige nota final ≥ 5,0 e frequência ≥ 75%.</x:v>
      </x:c>
    </x:row>
    <x:row r="11" ht="47" customHeight="1">
      <x:c r="A11" s="60" t="n">
        <x:v>7</x:v>
      </x:c>
      <x:c r="B11" s="40" t="str">
        <x:v>Sem trabalho, mas com alguma lista</x:v>
      </x:c>
      <x:c r="C11" s="40" t="str">
        <x:v>50%</x:v>
      </x:c>
      <x:c r="D11" s="40" t="str">
        <x:v>Regra especial prevalece sobre a fórmula da frequência base.</x:v>
      </x:c>
    </x:row>
    <x:row r="12" ht="47" customHeight="1">
      <x:c r="A12" s="60" t="n">
        <x:v>8</x:v>
      </x:c>
      <x:c r="B12" s="40" t="str">
        <x:v>Sem trabalho e sem nenhuma lista</x:v>
      </x:c>
      <x:c r="C12" s="40" t="str">
        <x:v>0%</x:v>
      </x:c>
      <x:c r="D12" s="40" t="str">
        <x:v>Regra especial prevalece sobre a fórmula da frequência base.</x:v>
      </x:c>
    </x:row>
    <x:row r="13" ht="47" customHeight="1">
      <x:c r="A13" s="60" t="n">
        <x:v>9</x:v>
      </x:c>
      <x:c r="B13" s="40" t="str">
        <x:v>Precisão</x:v>
      </x:c>
      <x:c r="C13" s="40" t="str">
        <x:v>1 casa decimal</x:v>
      </x:c>
      <x:c r="D13" s="40" t="str">
        <x:v>Notas e frequências são exibidas com uma casa decimal.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cd43ff5d9e44c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3" max="3" width="16" hidden="0" customWidth="1"/>
    <x:col min="4" max="4" width="58" hidden="0" customWidth="1"/>
  </x:cols>
  <x:sheetData>
    <x:row r="1" ht="34" customHeight="1">
      <x:c r="A1" s="3" t="str">
        <x:v>Proveniência e controles</x:v>
      </x:c>
      <x:c r="B1" s="3" t="str">
        <x:v>Proveniência e controles</x:v>
      </x:c>
      <x:c r="C1" s="3" t="str">
        <x:v>Proveniência e controles</x:v>
      </x:c>
      <x:c r="D1" s="3" t="str">
        <x:v>Proveniência e controles</x:v>
      </x:c>
    </x:row>
    <x:row r="2" ht="34" customHeight="1">
      <x:c r="A2" s="7" t="str">
        <x:v>Fontes locais preservadas e verificações de consistência usadas na consolidação.</x:v>
      </x:c>
      <x:c r="B2" s="7" t="str">
        <x:v>Fontes locais preservadas e verificações de consistência usadas na consolidação.</x:v>
      </x:c>
      <x:c r="C2" s="7" t="str">
        <x:v>Fontes locais preservadas e verificações de consistência usadas na consolidação.</x:v>
      </x:c>
      <x:c r="D2" s="7" t="str">
        <x:v>Fontes locais preservadas e verificações de consistência usadas na consolidação.</x:v>
      </x:c>
    </x:row>
    <x:row r="4" ht="32" customHeight="1">
      <x:c r="A4" s="19" t="str">
        <x:v>Item</x:v>
      </x:c>
      <x:c r="B4" s="20" t="str">
        <x:v>Valor</x:v>
      </x:c>
      <x:c r="C4" s="20" t="str">
        <x:v>Status</x:v>
      </x:c>
      <x:c r="D4" s="21" t="str">
        <x:v>Nota de auditoria</x:v>
      </x:c>
    </x:row>
    <x:row r="5" ht="43" customHeight="1">
      <x:c r="A5" s="63" t="str">
        <x:v>Turma</x:v>
      </x:c>
      <x:c r="B5" s="39" t="str">
        <x:v>FLP0406 — Métodos e Técnicas de Pesquisa em Ciência Política (2026)</x:v>
      </x:c>
      <x:c r="C5" s="59" t="str">
        <x:v>Confirmado</x:v>
      </x:c>
      <x:c r="D5" s="39" t="str">
        <x:v>Turma de graduação; não confundir com a oferta conjunta da pós-graduação.</x:v>
      </x:c>
    </x:row>
    <x:row r="6" ht="43" customHeight="1">
      <x:c r="A6" s="64" t="str">
        <x:v>Planilha anterior</x:v>
      </x:c>
      <x:c r="B6" s="40" t="str">
        <x:v>outputs/01a02455-4428-7e10-b65c-4328cbb55411/notas_metodos_III_2026.xlsx</x:v>
      </x:c>
      <x:c r="C6" s="60" t="str">
        <x:v>Preservada</x:v>
      </x:c>
      <x:c r="D6" s="40" t="str">
        <x:v>Fonte das notas e justificativas já adotadas.</x:v>
      </x:c>
    </x:row>
    <x:row r="7" ht="43" customHeight="1">
      <x:c r="A7" s="64" t="str">
        <x:v>Registros consolidados</x:v>
      </x:c>
      <x:c r="B7" s="40" t="str">
        <x:v>tmp/grading_work/final_grade_records.csv</x:v>
      </x:c>
      <x:c r="C7" s="60" t="str">
        <x:v>Preservado</x:v>
      </x:c>
      <x:c r="D7" s="40" t="str">
        <x:v>74 estudantes; listas, fonte da entrega e justificativa.</x:v>
      </x:c>
    </x:row>
    <x:row r="8" ht="43" customHeight="1">
      <x:c r="A8" s="64" t="str">
        <x:v>Releituras independentes</x:v>
      </x:c>
      <x:c r="B8" s="40" t="str">
        <x:v>tmp/grading_work/independent_review_results.csv</x:v>
      </x:c>
      <x:c r="C8" s="60" t="str">
        <x:v>Preservado</x:v>
      </x:c>
      <x:c r="D8" s="40" t="str">
        <x:v>14 releituras incorporadas conforme decisão docente anterior.</x:v>
      </x:c>
    </x:row>
    <x:row r="9" ht="43" customHeight="1">
      <x:c r="A9" s="64" t="str">
        <x:v>Trabalhos entregues</x:v>
      </x:c>
      <x:c r="B9" s="40" t="n">
        <x:v>57</x:v>
      </x:c>
      <x:c r="C9" s="60" t="str">
        <x:v>Verificado</x:v>
      </x:c>
      <x:c r="D9" s="40" t="str">
        <x:v>56 via Moodle e 1 por e-mail.</x:v>
      </x:c>
    </x:row>
    <x:row r="10" ht="43" customHeight="1">
      <x:c r="A10" s="64" t="str">
        <x:v>Sem trabalho</x:v>
      </x:c>
      <x:c r="B10" s="40" t="n">
        <x:v>17</x:v>
      </x:c>
      <x:c r="C10" s="60" t="str">
        <x:v>Verificado</x:v>
      </x:c>
      <x:c r="D10" s="40" t="str">
        <x:v>Recebem 50% se houver alguma lista e 0% se não houver nenhuma.</x:v>
      </x:c>
    </x:row>
    <x:row r="11" ht="43" customHeight="1">
      <x:c r="A11" s="64" t="str">
        <x:v>Entrega completa</x:v>
      </x:c>
      <x:c r="B11" s="40" t="n">
        <x:v>48</x:v>
      </x:c>
      <x:c r="C11" s="60" t="str">
        <x:v>Verificado</x:v>
      </x:c>
      <x:c r="D11" s="40" t="str">
        <x:v>Trabalho e as duas listas; recebem +0,5 na nota.</x:v>
      </x:c>
    </x:row>
    <x:row r="12" ht="43" customHeight="1">
      <x:c r="A12" s="64" t="str">
        <x:v>Trabalho com lista faltante</x:v>
      </x:c>
      <x:c r="B12" s="40" t="n">
        <x:v>9</x:v>
      </x:c>
      <x:c r="C12" s="60" t="str">
        <x:v>Verificado</x:v>
      </x:c>
      <x:c r="D12" s="40" t="str">
        <x:v>Recebem −0,5 na nota e −10 p.p. na frequência.</x:v>
      </x:c>
    </x:row>
    <x:row r="13" ht="43" customHeight="1">
      <x:c r="A13" s="64" t="str">
        <x:v>Aprovados</x:v>
      </x:c>
      <x:c r="B13" s="65" t="n">
        <x:f>COUNTIF('Auditoria'!O8:O81,"Aprovado")</x:f>
        <x:v>57</x:v>
      </x:c>
      <x:c r="C13" s="60" t="str">
        <x:v>Fórmula</x:v>
      </x:c>
      <x:c r="D13" s="40" t="str">
        <x:v>Todos devem ter frequência mínima de 75%.</x:v>
      </x:c>
    </x:row>
    <x:row r="14" ht="43" customHeight="1">
      <x:c r="A14" s="64" t="str">
        <x:v>Menor frequência aprovada</x:v>
      </x:c>
      <x:c r="B14" s="65" t="n">
        <x:f>MINIFS('Auditoria'!N8:N81,'Auditoria'!O8:O81,"Aprovado")</x:f>
        <x:v>77.7</x:v>
      </x:c>
      <x:c r="C14" s="60" t="str">
        <x:v>Fórmula</x:v>
      </x:c>
      <x:c r="D14" s="40" t="str">
        <x:v>Controle do piso de frequência.</x:v>
      </x:c>
    </x:row>
    <x:row r="15" ht="43" customHeight="1">
      <x:c r="A15" s="64" t="str">
        <x:v>Ação externa</x:v>
      </x:c>
      <x:c r="B15" s="40" t="str">
        <x:v>Nenhuma</x:v>
      </x:c>
      <x:c r="C15" s="60" t="str">
        <x:v>Confirmado</x:v>
      </x:c>
      <x:c r="D15" s="40" t="str">
        <x:v>Nada foi lançado no Moodle e nenhuma mensagem foi enviada.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1b41c8f27bf4051"/>
  </x:tableParts>
</x:worksheet>
</file>