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e1d334e9a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as" sheetId="1" r:id="R4fc297dc64e04e1c"/>
    <x:sheet xmlns:r="http://schemas.openxmlformats.org/officeDocument/2006/relationships" name="Rubrica" sheetId="2" r:id="R8b6183d8e77640b3"/>
    <x:sheet xmlns:r="http://schemas.openxmlformats.org/officeDocument/2006/relationships" name="Referência" sheetId="3" r:id="R3799e2e60e634afc"/>
    <x:sheet xmlns:r="http://schemas.openxmlformats.org/officeDocument/2006/relationships" name="Proveniência" sheetId="4" r:id="R872fdadac1854f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@"/>
    <x:numFmt numFmtId="202" formatCode="0.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212B"/>
      <x:name val="Carlito"/>
    </x:font>
    <x:font>
      <x:b/>
      <x:sz val="9"/>
      <x:color rgb="FF5B6773"/>
      <x:name val="Carlito"/>
    </x:font>
    <x:font>
      <x:b/>
      <x:sz val="16"/>
      <x:color rgb="FF17324D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b/>
      <x:sz val="10"/>
      <x:color rgb="FF17324D"/>
      <x:name val="Carlito"/>
    </x:font>
    <x:font>
      <x:b/>
      <x:sz val="11"/>
      <x:color rgb="FF17324D"/>
      <x:name val="Carlito"/>
    </x:font>
    <x:font>
      <x:i/>
      <x:sz val="11"/>
      <x:color rgb="FF5B677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EF"/>
      </x:patternFill>
    </x:fill>
    <x:fill>
      <x:patternFill patternType="solid">
        <x:fgColor rgb="FFF5F8FA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FF3D6"/>
      </x:patternFill>
    </x:fill>
  </x:fills>
  <x:borders count="14">
    <x:border/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medium">
        <x:color rgb="FF0F766E"/>
      </x:left>
      <x:top style="medium">
        <x:color rgb="FF0F766E"/>
      </x:top>
      <x:bottom style="medium">
        <x:color rgb="FF0F766E"/>
      </x:bottom>
    </x:border>
    <x:border>
      <x:top style="medium">
        <x:color rgb="FF0F766E"/>
      </x:top>
      <x:bottom style="medium">
        <x:color rgb="FF0F766E"/>
      </x:bottom>
    </x:border>
    <x:border>
      <x:right style="medium">
        <x:color rgb="FF0F766E"/>
      </x:right>
      <x:top style="medium">
        <x:color rgb="FF0F766E"/>
      </x:top>
      <x:bottom style="medium">
        <x:color rgb="FF0F766E"/>
      </x:bottom>
    </x:border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bottom style="double">
        <x:color rgb="FFD6A84B"/>
      </x:bottom>
    </x:border>
    <x:border>
      <x:left style="thin">
        <x:color rgb="FFD8E0E8"/>
      </x:left>
      <x:top style="thin">
        <x:color rgb="FFD8E0E8"/>
      </x:top>
    </x:border>
    <x:border>
      <x:top style="thin">
        <x:color rgb="FFD8E0E8"/>
      </x:top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bottom style="thin">
        <x:color rgb="FFD8E0E8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6" xfId="0" applyNumberFormat="1" applyFont="1" applyFill="1" applyBorder="1" applyAlignment="1">
      <x:alignment vertical="top"/>
    </x:xf>
    <x:xf numFmtId="0" fontId="6" fillId="0" borderId="7" xfId="0" applyNumberFormat="1" applyFont="1" applyFill="1" applyBorder="1" applyAlignment="1">
      <x:alignment vertical="top"/>
    </x:xf>
    <x:xf numFmtId="0" fontId="7" fillId="0" borderId="6" xfId="0" applyNumberFormat="1" applyFont="1" applyFill="1" applyBorder="1" applyAlignment="1">
      <x:alignment vertical="top"/>
    </x:xf>
    <x:xf numFmtId="0" fontId="7" fillId="0" borderId="7" xfId="0" applyNumberFormat="1" applyFont="1" applyFill="1" applyBorder="1" applyAlignment="1">
      <x:alignment vertical="top"/>
    </x:xf>
    <x:xf numFmtId="201" fontId="6" fillId="0" borderId="6" xfId="0" applyNumberFormat="1" applyFont="1" applyFill="1" applyBorder="1" applyAlignment="1">
      <x:alignment vertical="top"/>
    </x:xf>
    <x:xf numFmtId="201" fontId="6" fillId="0" borderId="7" xfId="0" applyNumberFormat="1" applyFont="1" applyFill="1" applyBorder="1" applyAlignment="1">
      <x:alignment vertical="top"/>
    </x:xf>
    <x:xf numFmtId="202" fontId="6" fillId="0" borderId="6" xfId="0" applyNumberFormat="1" applyFont="1" applyFill="1" applyBorder="1" applyAlignment="1">
      <x:alignment vertical="top"/>
    </x:xf>
    <x:xf numFmtId="202" fontId="6" fillId="0" borderId="7" xfId="0" applyNumberFormat="1" applyFont="1" applyFill="1" applyBorder="1" applyAlignment="1">
      <x:alignment vertical="top"/>
    </x:xf>
    <x:xf numFmtId="202" fontId="6" fillId="0" borderId="6" xfId="0" applyNumberFormat="1" applyFont="1" applyFill="1" applyBorder="1" applyAlignment="1">
      <x:alignment horizontal="right" vertical="top"/>
    </x:xf>
    <x:xf numFmtId="202" fontId="6" fillId="0" borderId="7" xfId="0" applyNumberFormat="1" applyFont="1" applyFill="1" applyBorder="1" applyAlignment="1">
      <x:alignment horizontal="right" vertical="top"/>
    </x:xf>
    <x:xf numFmtId="0" fontId="6" fillId="0" borderId="6" xfId="0" applyNumberFormat="1" applyFont="1" applyFill="1" applyBorder="1" applyAlignment="1">
      <x:alignment horizontal="center" vertical="top"/>
    </x:xf>
    <x:xf numFmtId="0" fontId="6" fillId="0" borderId="7" xfId="0" applyNumberFormat="1" applyFont="1" applyFill="1" applyBorder="1" applyAlignment="1">
      <x:alignment horizontal="center" vertical="top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200" fontId="6" fillId="0" borderId="6" xfId="0" applyNumberFormat="1" applyFont="1" applyFill="1" applyBorder="1" applyAlignment="1">
      <x:alignment vertical="top"/>
    </x:xf>
    <x:xf numFmtId="200" fontId="6" fillId="0" borderId="7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8" xfId="0" applyNumberFormat="1" applyFont="1" applyFill="1" applyBorder="1"/>
    <x:xf numFmtId="200" fontId="8" fillId="7" borderId="8" xfId="0" applyNumberFormat="1" applyFont="1" applyFill="1" applyBorder="1"/>
    <x:xf numFmtId="0" fontId="9" fillId="4" borderId="0" xfId="0" applyNumberFormat="1" applyFont="1" applyFill="1" applyBorder="1"/>
    <x:xf numFmtId="0" fontId="9" fillId="4" borderId="9" xfId="0" applyNumberFormat="1" applyFont="1" applyFill="1" applyBorder="1"/>
    <x:xf numFmtId="0" fontId="9" fillId="4" borderId="10" xfId="0" applyNumberFormat="1" applyFont="1" applyFill="1" applyBorder="1"/>
    <x:xf numFmtId="0" fontId="9" fillId="4" borderId="11" xfId="0" applyNumberFormat="1" applyFont="1" applyFill="1" applyBorder="1"/>
    <x:xf numFmtId="0" fontId="9" fillId="4" borderId="12" xfId="0" applyNumberFormat="1" applyFont="1" applyFill="1" applyBorder="1"/>
    <x:xf numFmtId="0" fontId="9" fillId="4" borderId="6" xfId="0" applyNumberFormat="1" applyFont="1" applyFill="1" applyBorder="1"/>
    <x:xf numFmtId="0" fontId="9" fillId="4" borderId="13" xfId="0" applyNumberFormat="1" applyFont="1" applyFill="1" applyBorder="1"/>
    <x:xf numFmtId="0" fontId="9" fillId="4" borderId="9" xfId="0" applyNumberFormat="1" applyFont="1" applyFill="1" applyBorder="1" applyAlignment="1">
      <x:alignment wrapText="1"/>
    </x:xf>
    <x:xf numFmtId="0" fontId="9" fillId="4" borderId="10" xfId="0" applyNumberFormat="1" applyFont="1" applyFill="1" applyBorder="1" applyAlignment="1">
      <x:alignment wrapText="1"/>
    </x:xf>
    <x:xf numFmtId="0" fontId="9" fillId="4" borderId="11" xfId="0" applyNumberFormat="1" applyFont="1" applyFill="1" applyBorder="1" applyAlignment="1">
      <x:alignment wrapText="1"/>
    </x:xf>
    <x:xf numFmtId="0" fontId="9" fillId="4" borderId="12" xfId="0" applyNumberFormat="1" applyFont="1" applyFill="1" applyBorder="1" applyAlignment="1">
      <x:alignment wrapText="1"/>
    </x:xf>
    <x:xf numFmtId="0" fontId="9" fillId="4" borderId="6" xfId="0" applyNumberFormat="1" applyFont="1" applyFill="1" applyBorder="1" applyAlignment="1">
      <x:alignment wrapText="1"/>
    </x:xf>
    <x:xf numFmtId="0" fontId="9" fillId="4" borderId="1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22e27575ad4234" /><Relationship Type="http://schemas.openxmlformats.org/officeDocument/2006/relationships/theme" Target="/xl/theme/theme1.xml" Id="R39e6d2250f624a31" /><Relationship Type="http://schemas.openxmlformats.org/officeDocument/2006/relationships/sharedStrings" Target="/xl/sharedStrings.xml" Id="R0d1f4f4983e342ce" /><Relationship Type="http://schemas.openxmlformats.org/officeDocument/2006/relationships/worksheet" Target="/xl/worksheets/sheet1.xml" Id="R4fc297dc64e04e1c" /><Relationship Type="http://schemas.openxmlformats.org/officeDocument/2006/relationships/worksheet" Target="/xl/worksheets/sheet2.xml" Id="R8b6183d8e77640b3" /><Relationship Type="http://schemas.openxmlformats.org/officeDocument/2006/relationships/worksheet" Target="/xl/worksheets/sheet3.xml" Id="R3799e2e60e634afc" /><Relationship Type="http://schemas.openxmlformats.org/officeDocument/2006/relationships/worksheet" Target="/xl/worksheets/sheet4.xml" Id="R872fdadac1854fda" /></Relationships>
</file>

<file path=xl/tables/table1.xml><?xml version="1.0" encoding="utf-8"?>
<x:table xmlns:x="http://schemas.openxmlformats.org/spreadsheetml/2006/main" id="1" name="NotasTrabalhoFinal" displayName="NotasTrabalhoFinal" ref="A7:J81" headerRowCount="1" totalsRowCount="0" totalsRowShown="0">
  <x:autoFilter ref="A7:J81"/>
  <x:tableColumns count="10">
    <x:tableColumn id="1" name="Nome"/>
    <x:tableColumn id="2" name="NUSP"/>
    <x:tableColumn id="3" name="E-mail"/>
    <x:tableColumn id="4" name="Lista 1"/>
    <x:tableColumn id="5" name="Lista 2"/>
    <x:tableColumn id="6" name="Nota listas"/>
    <x:tableColumn id="7" name="Trabalho final"/>
    <x:tableColumn id="8" name="Situação"/>
    <x:tableColumn id="9" name="Fonte"/>
    <x:tableColumn id="10" name="Justificativa da corre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4765caeae84f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29" hidden="0" customWidth="1"/>
    <x:col min="4" max="4" width="10" hidden="0" customWidth="1"/>
    <x:col min="5" max="5" width="10" hidden="0" customWidth="1"/>
    <x:col min="6" max="6" width="12" hidden="0" customWidth="1"/>
    <x:col min="7" max="7" width="15" hidden="0" customWidth="1"/>
    <x:col min="8" max="8" width="22" hidden="0" customWidth="1"/>
    <x:col min="9" max="9" width="14" hidden="0" customWidth="1"/>
    <x:col min="10" max="10" width="72" hidden="0" customWidth="1"/>
  </x:cols>
  <x:sheetData>
    <x:row r="1" ht="34" customHeight="1">
      <x:c r="A1" s="3" t="str">
        <x:v>Métodos III — correção do trabalho final (2026)</x:v>
      </x:c>
      <x:c r="B1" s="3" t="str">
        <x:v>Métodos III — correção do trabalho final (2026)</x:v>
      </x:c>
      <x:c r="C1" s="3" t="str">
        <x:v>Métodos III — correção do trabalho final (2026)</x:v>
      </x:c>
      <x:c r="D1" s="3" t="str">
        <x:v>Métodos III — correção do trabalho final (2026)</x:v>
      </x:c>
      <x:c r="E1" s="3" t="str">
        <x:v>Métodos III — correção do trabalho final (2026)</x:v>
      </x:c>
      <x:c r="F1" s="3" t="str">
        <x:v>Métodos III — correção do trabalho final (2026)</x:v>
      </x:c>
      <x:c r="G1" s="3" t="str">
        <x:v>Métodos III — correção do trabalho final (2026)</x:v>
      </x:c>
      <x:c r="H1" s="3" t="str">
        <x:v>Métodos III — correção do trabalho final (2026)</x:v>
      </x:c>
      <x:c r="I1" s="3" t="str">
        <x:v>Métodos III — correção do trabalho final (2026)</x:v>
      </x:c>
      <x:c r="J1" s="3" t="str">
        <x:v>Métodos III — correção do trabalho final (2026)</x:v>
      </x:c>
    </x:row>
    <x:row r="2" ht="32" customHeight="1">
      <x:c r="A2" s="7" t="str">
        <x:v>Notas adotadas após releitura independente dos 14 trabalhos selecionados; Mariana Araujo Püschel ajustada para 5,0 por decisão docente. Nenhuma nota foi lançada no Moodle.</x:v>
      </x:c>
      <x:c r="B2" s="7" t="str">
        <x:v>Notas adotadas após releitura independente dos 14 trabalhos selecionados; Mariana Araujo Püschel ajustada para 5,0 por decisão docente. Nenhuma nota foi lançada no Moodle.</x:v>
      </x:c>
      <x:c r="C2" s="7" t="str">
        <x:v>Notas adotadas após releitura independente dos 14 trabalhos selecionados; Mariana Araujo Püschel ajustada para 5,0 por decisão docente. Nenhuma nota foi lançada no Moodle.</x:v>
      </x:c>
      <x:c r="D2" s="7" t="str">
        <x:v>Notas adotadas após releitura independente dos 14 trabalhos selecionados; Mariana Araujo Püschel ajustada para 5,0 por decisão docente. Nenhuma nota foi lançada no Moodle.</x:v>
      </x:c>
      <x:c r="E2" s="7" t="str">
        <x:v>Notas adotadas após releitura independente dos 14 trabalhos selecionados; Mariana Araujo Püschel ajustada para 5,0 por decisão docente. Nenhuma nota foi lançada no Moodle.</x:v>
      </x:c>
      <x:c r="F2" s="7" t="str">
        <x:v>Notas adotadas após releitura independente dos 14 trabalhos selecionados; Mariana Araujo Püschel ajustada para 5,0 por decisão docente. Nenhuma nota foi lançada no Moodle.</x:v>
      </x:c>
      <x:c r="G2" s="7" t="str">
        <x:v>Notas adotadas após releitura independente dos 14 trabalhos selecionados; Mariana Araujo Püschel ajustada para 5,0 por decisão docente. Nenhuma nota foi lançada no Moodle.</x:v>
      </x:c>
      <x:c r="H2" s="7" t="str">
        <x:v>Notas adotadas após releitura independente dos 14 trabalhos selecionados; Mariana Araujo Püschel ajustada para 5,0 por decisão docente. Nenhuma nota foi lançada no Moodle.</x:v>
      </x:c>
      <x:c r="I2" s="7" t="str">
        <x:v>Notas adotadas após releitura independente dos 14 trabalhos selecionados; Mariana Araujo Püschel ajustada para 5,0 por decisão docente. Nenhuma nota foi lançada no Moodle.</x:v>
      </x:c>
      <x:c r="J2" s="7" t="str">
        <x:v>Notas adotadas após releitura independente dos 14 trabalhos selecionados; Mariana Araujo Püschel ajustada para 5,0 por decisão docente. Nenhuma nota foi lançada no Moodle.</x:v>
      </x:c>
    </x:row>
    <x:row r="4" ht="24" customHeight="1">
      <x:c r="A4" s="14" t="str">
        <x:v>Estudantes</x:v>
      </x:c>
      <x:c r="B4" s="15" t="str">
        <x:v>Estudantes</x:v>
      </x:c>
      <x:c r="C4" s="14" t="str">
        <x:v>Entregas</x:v>
      </x:c>
      <x:c r="D4" s="15" t="str">
        <x:v>Entregas</x:v>
      </x:c>
      <x:c r="E4" s="14" t="str">
        <x:v>Sem entrega</x:v>
      </x:c>
      <x:c r="F4" s="15" t="str">
        <x:v>Sem entrega</x:v>
      </x:c>
      <x:c r="G4" s="14" t="str">
        <x:v>Média dos entregues</x:v>
      </x:c>
      <x:c r="H4" s="15" t="str">
        <x:v>Média dos entregues</x:v>
      </x:c>
      <x:c r="I4" s="14" t="str">
        <x:v>Escala</x:v>
      </x:c>
      <x:c r="J4" s="15" t="str">
        <x:v>Escala</x:v>
      </x:c>
    </x:row>
    <x:row r="5" ht="24" customHeight="1">
      <x:c r="A5" s="22" t="n">
        <x:f>COUNTA(A8:A81)</x:f>
        <x:v>74</x:v>
      </x:c>
      <x:c r="B5" s="23"/>
      <x:c r="C5" s="22" t="n">
        <x:f>COUNTIF(H8:H81,"&lt;&gt;Sem envio localizado")</x:f>
        <x:v>57</x:v>
      </x:c>
      <x:c r="D5" s="23"/>
      <x:c r="E5" s="22" t="n">
        <x:f>COUNTIF(H8:H81,"Sem envio localizado")</x:f>
        <x:v>17</x:v>
      </x:c>
      <x:c r="F5" s="23"/>
      <x:c r="G5" s="24" t="n">
        <x:f>AVERAGEIF(H8:H81,"&lt;&gt;Sem envio localizado",G8:G81)</x:f>
        <x:v>8.456140350877192</x:v>
      </x:c>
      <x:c r="H5" s="25"/>
      <x:c r="I5" s="22" t="str">
        <x:v>0–10</x:v>
      </x:c>
      <x:c r="J5" s="23" t="str">
        <x:v>0–10</x:v>
      </x:c>
    </x:row>
    <x:row r="7" ht="31" customHeight="1">
      <x:c r="A7" s="37" t="str">
        <x:v>Nome</x:v>
      </x:c>
      <x:c r="B7" s="38" t="str">
        <x:v>NUSP</x:v>
      </x:c>
      <x:c r="C7" s="38" t="str">
        <x:v>E-mail</x:v>
      </x:c>
      <x:c r="D7" s="38" t="str">
        <x:v>Lista 1</x:v>
      </x:c>
      <x:c r="E7" s="38" t="str">
        <x:v>Lista 2</x:v>
      </x:c>
      <x:c r="F7" s="38" t="str">
        <x:v>Nota listas</x:v>
      </x:c>
      <x:c r="G7" s="38" t="str">
        <x:v>Trabalho final</x:v>
      </x:c>
      <x:c r="H7" s="38" t="str">
        <x:v>Situação</x:v>
      </x:c>
      <x:c r="I7" s="38" t="str">
        <x:v>Fonte</x:v>
      </x:c>
      <x:c r="J7" s="39" t="str">
        <x:v>Justificativa da correção</x:v>
      </x:c>
    </x:row>
    <x:row r="8" ht="40" customHeight="1">
      <x:c r="A8" s="45" t="str">
        <x:v>Agnes Francisca Carraro Kunsch</x:v>
      </x:c>
      <x:c r="B8" s="47" t="str">
        <x:v>14554690</x:v>
      </x:c>
      <x:c r="C8" s="43" t="str">
        <x:v>agneskunsch@usp.br</x:v>
      </x:c>
      <x:c r="D8" s="51" t="n">
        <x:v>10</x:v>
      </x:c>
      <x:c r="E8" s="51" t="n">
        <x:v>10</x:v>
      </x:c>
      <x:c r="F8" s="51" t="n">
        <x:f>AVERAGE(D8:E8)</x:f>
        <x:v>10</x:v>
      </x:c>
      <x:c r="G8" s="51" t="n">
        <x:v>9</x:v>
      </x:c>
      <x:c r="H8" s="53" t="str">
        <x:v>Entregue no Moodle</x:v>
      </x:c>
      <x:c r="I8" s="53" t="str">
        <x:v>Moodle</x:v>
      </x:c>
      <x:c r="J8" s="55" t="str">
        <x:v>Conteúdo substantivo correto e completo; perde em reprodutibilidade/apresentação porque o PDF tem 206 páginas de impressão da base e a limpeza foi feita parcialmente no Excel.</x:v>
      </x:c>
    </x:row>
    <x:row r="9" ht="40" customHeight="1">
      <x:c r="A9" s="46" t="str">
        <x:v>Andre Beraldo Calia</x:v>
      </x:c>
      <x:c r="B9" s="48" t="str">
        <x:v>15439907</x:v>
      </x:c>
      <x:c r="C9" s="44" t="str">
        <x:v>andre.calia@usp.br</x:v>
      </x:c>
      <x:c r="D9" s="52" t="n">
        <x:v>10</x:v>
      </x:c>
      <x:c r="E9" s="52" t="n">
        <x:v>10</x:v>
      </x:c>
      <x:c r="F9" s="52" t="n">
        <x:f>AVERAGE(D9:E9)</x:f>
        <x:v>10</x:v>
      </x:c>
      <x:c r="G9" s="52" t="n">
        <x:v>9</x:v>
      </x:c>
      <x:c r="H9" s="54" t="str">
        <x:v>Entregue no Moodle</x:v>
      </x:c>
      <x:c r="I9" s="54" t="str">
        <x:v>Moodle</x:v>
      </x:c>
      <x:c r="J9" s="56" t="str">
        <x:v>Análise completa, com variante aceitável do teste de proporções; resultados e conclusões substantivas são coerentes.</x:v>
      </x:c>
    </x:row>
    <x:row r="10" ht="40" customHeight="1">
      <x:c r="A10" s="46" t="str">
        <x:v>Andre Praça Susemihl</x:v>
      </x:c>
      <x:c r="B10" s="48" t="str">
        <x:v>15510702</x:v>
      </x:c>
      <x:c r="C10" s="44" t="str">
        <x:v>andrepraca@usp.br</x:v>
      </x:c>
      <x:c r="D10" s="52" t="n">
        <x:v>10</x:v>
      </x:c>
      <x:c r="E10" s="52" t="n">
        <x:v>10</x:v>
      </x:c>
      <x:c r="F10" s="52" t="n">
        <x:f>AVERAGE(D10:E10)</x:f>
        <x:v>10</x:v>
      </x:c>
      <x:c r="G10" s="52" t="n">
        <x:v>7.2</x:v>
      </x:c>
      <x:c r="H10" s="54" t="str">
        <x:v>Entregue no Moodle</x:v>
      </x:c>
      <x:c r="I10" s="54" t="str">
        <x:v>Moodle</x:v>
      </x:c>
      <x:c r="J10" s="56" t="str">
        <x:v>Estrutura completa e segundo teste correto, mas usa denominadores inadequados no primeiro estimando, obtendo p-valor 0,00392 e conclusão incorreta.</x:v>
      </x:c>
    </x:row>
    <x:row r="11" ht="40" customHeight="1">
      <x:c r="A11" s="46" t="str">
        <x:v>Andre Raposo Santos</x:v>
      </x:c>
      <x:c r="B11" s="48" t="str">
        <x:v>15652600</x:v>
      </x:c>
      <x:c r="C11" s="44" t="str">
        <x:v>and.raposo@usp.br</x:v>
      </x:c>
      <x:c r="D11" s="52" t="n">
        <x:v>0</x:v>
      </x:c>
      <x:c r="E11" s="52" t="n">
        <x:v>0</x:v>
      </x:c>
      <x:c r="F11" s="52" t="n">
        <x:f>AVERAGE(D11:E11)</x:f>
        <x:v>0</x:v>
      </x:c>
      <x:c r="G11" s="52" t="n">
        <x:v>0</x:v>
      </x:c>
      <x:c r="H11" s="54" t="str">
        <x:v>Sem envio localizado</x:v>
      </x:c>
      <x:c r="I11" s="54" t="str">
        <x:v>Sem envio</x:v>
      </x:c>
      <x:c r="J11" s="56" t="str">
        <x:v>Nenhum envio localizado no Moodle nem entre as entregas excepcionais por e-mail.</x:v>
      </x:c>
    </x:row>
    <x:row r="12" ht="40" customHeight="1">
      <x:c r="A12" s="46" t="str">
        <x:v>Anne Louise Dias Ferreira</x:v>
      </x:c>
      <x:c r="B12" s="48" t="str">
        <x:v>14558926</x:v>
      </x:c>
      <x:c r="C12" s="44" t="str">
        <x:v>annelouisedias@usp.br</x:v>
      </x:c>
      <x:c r="D12" s="52" t="n">
        <x:v>10</x:v>
      </x:c>
      <x:c r="E12" s="52" t="n">
        <x:v>10</x:v>
      </x:c>
      <x:c r="F12" s="52" t="n">
        <x:f>AVERAGE(D12:E12)</x:f>
        <x:v>10</x:v>
      </x:c>
      <x:c r="G12" s="52" t="n">
        <x:v>9.2</x:v>
      </x:c>
      <x:c r="H12" s="54" t="str">
        <x:v>Entregue no Moodle</x:v>
      </x:c>
      <x:c r="I12" s="54" t="str">
        <x:v>Moodle</x:v>
      </x:c>
      <x:c r="J12" s="56" t="str">
        <x:v>Trabalho completo e bem interpretado; pequenas diferenças numéricas decorrem da implementação escolhida para o teste.</x:v>
      </x:c>
    </x:row>
    <x:row r="13" ht="40" customHeight="1">
      <x:c r="A13" s="46" t="str">
        <x:v>Beatriz Pessoni</x:v>
      </x:c>
      <x:c r="B13" s="48" t="str">
        <x:v>15442662</x:v>
      </x:c>
      <x:c r="C13" s="44" t="str">
        <x:v>beatriz.pessoni@usp.br</x:v>
      </x:c>
      <x:c r="D13" s="52" t="n">
        <x:v>10</x:v>
      </x:c>
      <x:c r="E13" s="52" t="n">
        <x:v>10</x:v>
      </x:c>
      <x:c r="F13" s="52" t="n">
        <x:f>AVERAGE(D13:E13)</x:f>
        <x:v>10</x:v>
      </x:c>
      <x:c r="G13" s="52" t="n">
        <x:v>8.3</x:v>
      </x:c>
      <x:c r="H13" s="54" t="str">
        <x:v>Entregue no Moodle</x:v>
      </x:c>
      <x:c r="I13" s="54" t="str">
        <x:v>Moodle</x:v>
      </x:c>
      <x:c r="J13" s="56" t="str">
        <x:v>Nota adotada após releitura independente cega: 8,3. O trabalho identifica corretamente comparação e unidade, informa 1.038 × 26 e inspeciona categorias inválidas. A validação trata "NA" como categoria; depois corrige exp_adm e exp_car, mas não os 95 códigos de instr nem verifica os 17 ausentes de car_pub. A tabela recupera MAPA 482/524 e MinC 312/354, com intervalos de Wilson, mas a narrativa informa 88,03% e limites diferentes. O primeiro teste usa incorretamente 309/351 no MinC, contradizendo a tabela; p = 0,0519 ainda leva à não rejeição a 5%. A recodificação de alto_nivel e o teste 2 estão corretos: 187/525, 155/365 e p = 0,0389. As decisões a 10% e 1% também estão corretas. A questão amostral acerta a direção, mas não mostra 1/√2 e chama 1.025 de dobro de 525. O código não é autocontido: dados2 e exp_admin não são definidos e o caminho é local absoluto.</x:v>
      </x:c>
    </x:row>
    <x:row r="14" ht="40" customHeight="1">
      <x:c r="A14" s="46" t="str">
        <x:v>Beatriz Ribeiro Galli Ferreira</x:v>
      </x:c>
      <x:c r="B14" s="48" t="str">
        <x:v>11760430</x:v>
      </x:c>
      <x:c r="C14" s="44" t="str">
        <x:v>biargferreira@usp.br</x:v>
      </x:c>
      <x:c r="D14" s="52" t="n">
        <x:v>10</x:v>
      </x:c>
      <x:c r="E14" s="52" t="n">
        <x:v>10</x:v>
      </x:c>
      <x:c r="F14" s="52" t="n">
        <x:f>AVERAGE(D14:E14)</x:f>
        <x:v>10</x:v>
      </x:c>
      <x:c r="G14" s="52" t="n">
        <x:v>7.8</x:v>
      </x:c>
      <x:c r="H14" s="54" t="str">
        <x:v>Entregue no Moodle</x:v>
      </x:c>
      <x:c r="I14" s="54" t="str">
        <x:v>Moodle</x:v>
      </x:c>
      <x:c r="J14" s="56" t="str">
        <x:v>Combina exp_adm com exp_car, alterando o estimando, e recodifica exp_car de modo inadequado; os resultados ficam próximos e o segundo teste está correto.</x:v>
      </x:c>
    </x:row>
    <x:row r="15" ht="40" customHeight="1">
      <x:c r="A15" s="46" t="str">
        <x:v>Bruno da Silva</x:v>
      </x:c>
      <x:c r="B15" s="48" t="str">
        <x:v>9875681</x:v>
      </x:c>
      <x:c r="C15" s="44" t="str">
        <x:v>bruno8.silva@usp.br</x:v>
      </x:c>
      <x:c r="D15" s="52" t="n">
        <x:v>0</x:v>
      </x:c>
      <x:c r="E15" s="52" t="n">
        <x:v>0</x:v>
      </x:c>
      <x:c r="F15" s="52" t="n">
        <x:f>AVERAGE(D15:E15)</x:f>
        <x:v>0</x:v>
      </x:c>
      <x:c r="G15" s="52" t="n">
        <x:v>0</x:v>
      </x:c>
      <x:c r="H15" s="54" t="str">
        <x:v>Sem envio localizado</x:v>
      </x:c>
      <x:c r="I15" s="54" t="str">
        <x:v>Sem envio</x:v>
      </x:c>
      <x:c r="J15" s="56" t="str">
        <x:v>Nenhum envio localizado no Moodle nem entre as entregas excepcionais por e-mail.</x:v>
      </x:c>
    </x:row>
    <x:row r="16" ht="40" customHeight="1">
      <x:c r="A16" s="46" t="str">
        <x:v>Caio Felicio Razera</x:v>
      </x:c>
      <x:c r="B16" s="48" t="str">
        <x:v>14562914</x:v>
      </x:c>
      <x:c r="C16" s="44" t="str">
        <x:v>felicio.caio@usp.br</x:v>
      </x:c>
      <x:c r="D16" s="52" t="n">
        <x:v>10</x:v>
      </x:c>
      <x:c r="E16" s="52" t="n">
        <x:v>10</x:v>
      </x:c>
      <x:c r="F16" s="52" t="n">
        <x:f>AVERAGE(D16:E16)</x:f>
        <x:v>10</x:v>
      </x:c>
      <x:c r="G16" s="52" t="n">
        <x:v>8.5</x:v>
      </x:c>
      <x:c r="H16" s="54" t="str">
        <x:v>Entregue no Moodle</x:v>
      </x:c>
      <x:c r="I16" s="54" t="str">
        <x:v>Moodle</x:v>
      </x:c>
      <x:c r="J16" s="56" t="str">
        <x:v>Boa cobertura e interpretação; pequenas inconsistências na limpeza e em denominadores reduzem a precisão dos resultados.</x:v>
      </x:c>
    </x:row>
    <x:row r="17" ht="40" customHeight="1">
      <x:c r="A17" s="46" t="str">
        <x:v>Carlos Alberto Vergara</x:v>
      </x:c>
      <x:c r="B17" s="48" t="str">
        <x:v>3464981</x:v>
      </x:c>
      <x:c r="C17" s="44" t="str">
        <x:v>cavergara@usp.br</x:v>
      </x:c>
      <x:c r="D17" s="52" t="n">
        <x:v>10</x:v>
      </x:c>
      <x:c r="E17" s="52" t="n">
        <x:v>10</x:v>
      </x:c>
      <x:c r="F17" s="52" t="n">
        <x:f>AVERAGE(D17:E17)</x:f>
        <x:v>10</x:v>
      </x:c>
      <x:c r="G17" s="52" t="n">
        <x:v>6.3</x:v>
      </x:c>
      <x:c r="H17" s="54" t="str">
        <x:v>Entregue no Moodle</x:v>
      </x:c>
      <x:c r="I17" s="54" t="str">
        <x:v>Moodle</x:v>
      </x:c>
      <x:c r="J17" s="56" t="str">
        <x:v>Nota adotada após releitura independente cega: 6,3. O relatório identifica corretamente artigo, MAPA/MinC e unidade, e documenta 1.038 × 26. A validação confunde NA textual com NA real: informa exp_adm = 0, exp_car = 1 e instr = 0, omite car_pub e não corrige adequadamente os códigos  1  e 3. A descritiva de exp_adm usa MAPA 482/525, em vez de 482/524, e MinC 309/365, em vez de 312/354. O primeiro teste estima 7,15 pontos percentuais e p = 0,0014; além do cálculo contaminado, afirma que 0,0014 é maior que 0,05 e decide não rejeitar, uma contradição central. Em contraste, alto_nivel é construído corretamente: 187/525 no MAPA, 155/365 no MinC, diferença de −6,85 pontos percentuais e p = 0,0395, com decisão correta a 5%; somente a conclusão final inverte a direção ao dizer que o MAPA tem proporção maior. A discussão dos níveis é correta para o teste 2, mas contraditória no teste 1. A seção de amostra duplicada acerta a divisão por √2 e a redução de 29,3%. O relatório é legível, numerado e inclui código e fonte.</x:v>
      </x:c>
    </x:row>
    <x:row r="18" ht="40" customHeight="1">
      <x:c r="A18" s="46" t="str">
        <x:v>Carmen Maria Serrano dos Santos</x:v>
      </x:c>
      <x:c r="B18" s="48" t="str">
        <x:v>15445370</x:v>
      </x:c>
      <x:c r="C18" s="44" t="str">
        <x:v>carmen.maria@usp.br</x:v>
      </x:c>
      <x:c r="D18" s="52" t="n">
        <x:v>10</x:v>
      </x:c>
      <x:c r="E18" s="52" t="n">
        <x:v>10</x:v>
      </x:c>
      <x:c r="F18" s="52" t="n">
        <x:f>AVERAGE(D18:E18)</x:f>
        <x:v>10</x:v>
      </x:c>
      <x:c r="G18" s="52" t="n">
        <x:v>9.7</x:v>
      </x:c>
      <x:c r="H18" s="54" t="str">
        <x:v>Entregue por e-mail</x:v>
      </x:c>
      <x:c r="I18" s="54" t="str">
        <x:v>E-mail</x:v>
      </x:c>
      <x:c r="J18" s="56" t="str">
        <x:v>Trabalho completo, correto e reprodutível; pequena inconsistência de exibição na tabela de ausentes, sem afetar a análise.</x:v>
      </x:c>
    </x:row>
    <x:row r="19" ht="40" customHeight="1">
      <x:c r="A19" s="46" t="str">
        <x:v>Caua Vigiani Cavaliere</x:v>
      </x:c>
      <x:c r="B19" s="48" t="str">
        <x:v>15573943</x:v>
      </x:c>
      <x:c r="C19" s="44" t="str">
        <x:v>caua.vigiani@usp.br</x:v>
      </x:c>
      <x:c r="D19" s="52" t="n">
        <x:v>10</x:v>
      </x:c>
      <x:c r="E19" s="52" t="n">
        <x:v>0</x:v>
      </x:c>
      <x:c r="F19" s="52" t="n">
        <x:f>AVERAGE(D19:E19)</x:f>
        <x:v>5</x:v>
      </x:c>
      <x:c r="G19" s="52" t="n">
        <x:v>0</x:v>
      </x:c>
      <x:c r="H19" s="54" t="str">
        <x:v>Sem envio localizado</x:v>
      </x:c>
      <x:c r="I19" s="54" t="str">
        <x:v>Sem envio</x:v>
      </x:c>
      <x:c r="J19" s="56" t="str">
        <x:v>Nenhum envio localizado no Moodle nem entre as entregas excepcionais por e-mail.</x:v>
      </x:c>
    </x:row>
    <x:row r="20" ht="40" customHeight="1">
      <x:c r="A20" s="46" t="str">
        <x:v>Dayane Nogueira dos Santos</x:v>
      </x:c>
      <x:c r="B20" s="48" t="str">
        <x:v>15514004</x:v>
      </x:c>
      <x:c r="C20" s="44" t="str">
        <x:v>dayanenogueira2000@usp.br</x:v>
      </x:c>
      <x:c r="D20" s="52" t="n">
        <x:v>10</x:v>
      </x:c>
      <x:c r="E20" s="52" t="n">
        <x:v>0</x:v>
      </x:c>
      <x:c r="F20" s="52" t="n">
        <x:f>AVERAGE(D20:E20)</x:f>
        <x:v>5</x:v>
      </x:c>
      <x:c r="G20" s="52" t="n">
        <x:v>8.7</x:v>
      </x:c>
      <x:c r="H20" s="54" t="str">
        <x:v>Entregue no Moodle</x:v>
      </x:c>
      <x:c r="I20" s="54" t="str">
        <x:v>Moodle</x:v>
      </x:c>
      <x:c r="J20" s="56" t="str">
        <x:v>Relatório completo; usa variante do teste com resultados próximos, mas há pequenas inconsistências na limpeza e apresentação numérica.</x:v>
      </x:c>
    </x:row>
    <x:row r="21" ht="40" customHeight="1">
      <x:c r="A21" s="46" t="str">
        <x:v>Dong Zishuo</x:v>
      </x:c>
      <x:c r="B21" s="48" t="str">
        <x:v>17117294</x:v>
      </x:c>
      <x:c r="C21" s="44" t="str">
        <x:v>woshidongzishuo@126.com</x:v>
      </x:c>
      <x:c r="D21" s="52" t="n">
        <x:v>0</x:v>
      </x:c>
      <x:c r="E21" s="52" t="n">
        <x:v>0</x:v>
      </x:c>
      <x:c r="F21" s="52" t="n">
        <x:f>AVERAGE(D21:E21)</x:f>
        <x:v>0</x:v>
      </x:c>
      <x:c r="G21" s="52" t="n">
        <x:v>0</x:v>
      </x:c>
      <x:c r="H21" s="54" t="str">
        <x:v>Sem envio localizado</x:v>
      </x:c>
      <x:c r="I21" s="54" t="str">
        <x:v>Sem envio</x:v>
      </x:c>
      <x:c r="J21" s="56" t="str">
        <x:v>Nenhum envio localizado no Moodle nem entre as entregas excepcionais por e-mail.</x:v>
      </x:c>
    </x:row>
    <x:row r="22" ht="40" customHeight="1">
      <x:c r="A22" s="46" t="str">
        <x:v>Emerson de Lima Gomes</x:v>
      </x:c>
      <x:c r="B22" s="48" t="str">
        <x:v>13713872</x:v>
      </x:c>
      <x:c r="C22" s="44" t="str">
        <x:v>egomes@usp.br</x:v>
      </x:c>
      <x:c r="D22" s="52" t="n">
        <x:v>10</x:v>
      </x:c>
      <x:c r="E22" s="52" t="n">
        <x:v>10</x:v>
      </x:c>
      <x:c r="F22" s="52" t="n">
        <x:f>AVERAGE(D22:E22)</x:f>
        <x:v>10</x:v>
      </x:c>
      <x:c r="G22" s="52" t="n">
        <x:v>8.5</x:v>
      </x:c>
      <x:c r="H22" s="54" t="str">
        <x:v>Entregue no Moodle</x:v>
      </x:c>
      <x:c r="I22" s="54" t="str">
        <x:v>Moodle</x:v>
      </x:c>
      <x:c r="J22" s="56" t="str">
        <x:v>Resultados centrais corretos; faltam precisão em parte das decisões/interpretações e na discussão dos níveis de significância.</x:v>
      </x:c>
    </x:row>
    <x:row r="23" ht="40" customHeight="1">
      <x:c r="A23" s="46" t="str">
        <x:v>Emilio Amigo Gamo</x:v>
      </x:c>
      <x:c r="B23" s="48" t="str">
        <x:v>5549811</x:v>
      </x:c>
      <x:c r="C23" s="44" t="str">
        <x:v>eamigogamo@usp.br</x:v>
      </x:c>
      <x:c r="D23" s="52" t="n">
        <x:v>10</x:v>
      </x:c>
      <x:c r="E23" s="52" t="n">
        <x:v>10</x:v>
      </x:c>
      <x:c r="F23" s="52" t="n">
        <x:f>AVERAGE(D23:E23)</x:f>
        <x:v>10</x:v>
      </x:c>
      <x:c r="G23" s="52" t="n">
        <x:v>9.1</x:v>
      </x:c>
      <x:c r="H23" s="54" t="str">
        <x:v>Entregue no Moodle</x:v>
      </x:c>
      <x:c r="I23" s="54" t="str">
        <x:v>Moodle</x:v>
      </x:c>
      <x:c r="J23" s="56" t="str">
        <x:v>Análise completa e substantivamente correta; pequenas diferenças numéricas são compatíveis com outra implementação do teste.</x:v>
      </x:c>
    </x:row>
    <x:row r="24" ht="40" customHeight="1">
      <x:c r="A24" s="46" t="str">
        <x:v>Enzo Rosa Chiavarini Altavista</x:v>
      </x:c>
      <x:c r="B24" s="48" t="str">
        <x:v>15450000</x:v>
      </x:c>
      <x:c r="C24" s="44" t="str">
        <x:v>enzoaltavista@usp.br</x:v>
      </x:c>
      <x:c r="D24" s="52" t="n">
        <x:v>0</x:v>
      </x:c>
      <x:c r="E24" s="52" t="n">
        <x:v>0</x:v>
      </x:c>
      <x:c r="F24" s="52" t="n">
        <x:f>AVERAGE(D24:E24)</x:f>
        <x:v>0</x:v>
      </x:c>
      <x:c r="G24" s="52" t="n">
        <x:v>0</x:v>
      </x:c>
      <x:c r="H24" s="54" t="str">
        <x:v>Sem envio localizado</x:v>
      </x:c>
      <x:c r="I24" s="54" t="str">
        <x:v>Sem envio</x:v>
      </x:c>
      <x:c r="J24" s="56" t="str">
        <x:v>Nenhum envio localizado no Moodle nem entre as entregas excepcionais por e-mail.</x:v>
      </x:c>
    </x:row>
    <x:row r="25" ht="40" customHeight="1">
      <x:c r="A25" s="46" t="str">
        <x:v>Fellipe Matheus Bernardino Pereira</x:v>
      </x:c>
      <x:c r="B25" s="48" t="str">
        <x:v>11330361</x:v>
      </x:c>
      <x:c r="C25" s="44" t="str">
        <x:v>fellipeb@usp.br</x:v>
      </x:c>
      <x:c r="D25" s="52" t="n">
        <x:v>10</x:v>
      </x:c>
      <x:c r="E25" s="52" t="n">
        <x:v>10</x:v>
      </x:c>
      <x:c r="F25" s="52" t="n">
        <x:f>AVERAGE(D25:E25)</x:f>
        <x:v>10</x:v>
      </x:c>
      <x:c r="G25" s="52" t="n">
        <x:v>9.8</x:v>
      </x:c>
      <x:c r="H25" s="54" t="str">
        <x:v>Entregue no Moodle</x:v>
      </x:c>
      <x:c r="I25" s="54" t="str">
        <x:v>Moodle</x:v>
      </x:c>
      <x:c r="J25" s="56" t="str">
        <x:v>Nota adotada após releitura independente cega: 9,8. O relatório identifica a base com 1.038 linhas e 26 variáveis, verifica dados ausentes e códigos anômalos e reproduz corretamente os resultados centrais. Para experiência administrativa, encontra 482 casos entre 524 observações válidas no MAPA e 312 entre 354 no MinC. O primeiro teste produz p = 0,05716: não se rejeita a hipótese de igualdade a 5% ou 1%, mas ela é rejeitada a 10%. Para cargos de alto nível, encontra 187 entre 525 no MAPA e 155 entre 365 no MinC, com p = 0,03889, decisão correta a 5%. Também explica corretamente que dobrar a amostra reduz o erro-padrão por 1/√2, cerca de 29,3%. Os pequenos descontos decorrem de não fornecer a referência bibliográfica completa, chamar a unidade de “indicação” em vez de nomeação/ocupação e não mostrar explicitamente o código de importação e carregamento de pacotes.</x:v>
      </x:c>
    </x:row>
    <x:row r="26" ht="40" customHeight="1">
      <x:c r="A26" s="46" t="str">
        <x:v>Fernanda Cristina de Oliveira da Silva</x:v>
      </x:c>
      <x:c r="B26" s="48" t="str">
        <x:v>15451867</x:v>
      </x:c>
      <x:c r="C26" s="44" t="str">
        <x:v>fernand1.cristina05@usp.br</x:v>
      </x:c>
      <x:c r="D26" s="52" t="n">
        <x:v>10</x:v>
      </x:c>
      <x:c r="E26" s="52" t="n">
        <x:v>10</x:v>
      </x:c>
      <x:c r="F26" s="52" t="n">
        <x:f>AVERAGE(D26:E26)</x:f>
        <x:v>10</x:v>
      </x:c>
      <x:c r="G26" s="52" t="n">
        <x:v>5.9</x:v>
      </x:c>
      <x:c r="H26" s="54" t="str">
        <x:v>Entregue no Moodle</x:v>
      </x:c>
      <x:c r="I26" s="54" t="str">
        <x:v>Moodle</x:v>
      </x:c>
      <x:c r="J26" s="56" t="str">
        <x:v>Agrega as pastas na tabela descritiva e obtém p-valor 0,001 no primeiro teste; o segundo teste e o efeito do tamanho amostral estão corretos.</x:v>
      </x:c>
    </x:row>
    <x:row r="27" ht="40" customHeight="1">
      <x:c r="A27" s="46" t="str">
        <x:v>Filipe Kiyoshi Otuka</x:v>
      </x:c>
      <x:c r="B27" s="48" t="str">
        <x:v>14780870</x:v>
      </x:c>
      <x:c r="C27" s="44" t="str">
        <x:v>filipeotuka@usp.br</x:v>
      </x:c>
      <x:c r="D27" s="52" t="n">
        <x:v>10</x:v>
      </x:c>
      <x:c r="E27" s="52" t="n">
        <x:v>10</x:v>
      </x:c>
      <x:c r="F27" s="52" t="n">
        <x:f>AVERAGE(D27:E27)</x:f>
        <x:v>10</x:v>
      </x:c>
      <x:c r="G27" s="52" t="n">
        <x:v>9.6</x:v>
      </x:c>
      <x:c r="H27" s="54" t="str">
        <x:v>Entregue no Moodle</x:v>
      </x:c>
      <x:c r="I27" s="54" t="str">
        <x:v>Moodle</x:v>
      </x:c>
      <x:c r="J27" s="56" t="str">
        <x:v>Trabalho completo e correto; resultados, testes e interpretações estão alinhados ao gabarito.</x:v>
      </x:c>
    </x:row>
    <x:row r="28" ht="40" customHeight="1">
      <x:c r="A28" s="46" t="str">
        <x:v>Franciele de Brito Leite</x:v>
      </x:c>
      <x:c r="B28" s="48" t="str">
        <x:v>13825860</x:v>
      </x:c>
      <x:c r="C28" s="44" t="str">
        <x:v>debritofranciele@usp.br</x:v>
      </x:c>
      <x:c r="D28" s="52" t="n">
        <x:v>10</x:v>
      </x:c>
      <x:c r="E28" s="52" t="n">
        <x:v>10</x:v>
      </x:c>
      <x:c r="F28" s="52" t="n">
        <x:f>AVERAGE(D28:E28)</x:f>
        <x:v>10</x:v>
      </x:c>
      <x:c r="G28" s="52" t="n">
        <x:v>9.4</x:v>
      </x:c>
      <x:c r="H28" s="54" t="str">
        <x:v>Entregue no Moodle</x:v>
      </x:c>
      <x:c r="I28" s="54" t="str">
        <x:v>Moodle</x:v>
      </x:c>
      <x:c r="J28" s="56" t="str">
        <x:v>Resultados e interpretações corretos; pequenas perdas de apresentação/validação.</x:v>
      </x:c>
    </x:row>
    <x:row r="29" ht="40" customHeight="1">
      <x:c r="A29" s="46" t="str">
        <x:v>Francisco Zardo de Melo</x:v>
      </x:c>
      <x:c r="B29" s="48" t="str">
        <x:v>15452656</x:v>
      </x:c>
      <x:c r="C29" s="44" t="str">
        <x:v>franciscozmelo@usp.br</x:v>
      </x:c>
      <x:c r="D29" s="52" t="n">
        <x:v>10</x:v>
      </x:c>
      <x:c r="E29" s="52" t="n">
        <x:v>10</x:v>
      </x:c>
      <x:c r="F29" s="52" t="n">
        <x:f>AVERAGE(D29:E29)</x:f>
        <x:v>10</x:v>
      </x:c>
      <x:c r="G29" s="52" t="n">
        <x:v>6.5</x:v>
      </x:c>
      <x:c r="H29" s="54" t="str">
        <x:v>Entregue no Moodle</x:v>
      </x:c>
      <x:c r="I29" s="54" t="str">
        <x:v>Moodle</x:v>
      </x:c>
      <x:c r="J29" s="56" t="str">
        <x:v>Nota adotada após releitura independente cega: 6,5. O relatório identifica corretamente artigo, MAPA/MinC e a nomeação observada como unidade, registra 1.038 × 26 e lista as variáveis. A inspeção de ausências é parcialmente adequada: aparecem instr = 95, exp_adm = 11, nivel = 0, indicacao = 0 e car_pub = 17; exp_car surge fragmentada em 75 textos "NA" e um &lt;NA&gt;, sem consolidar 76. Após detectar códigos inválidos de exp_adm, não os retira dos denominadores. A tabela usa n = 525/365, em vez de 524/354. Embora x = 482/312 esteja correto, proporções e intervalos ficam errados, sobretudo no MinC. O teste 1 passa a ter diferença de 6,33 pontos percentuais e p = 0,00275, em vez de aproximadamente 3,85 e p = 0,057; a rejeição a 5% é incorreta. Também faltam H0/H1, comando do teste e interpretação probabilística do p-valor. O segundo teste está essencialmente correto: 187/525, 155/365 e p = 0,0389. A discussão de 1% mistura 1% com 0,1% e apresenta desigualdade incoerente. Ao dobrar n, acerta a direção, mas não fornece EP/√2 nem a redução de 29,3%. O relatório é legível e indica a fonte, porém não exibe código suficiente para reprodução plena.</x:v>
      </x:c>
    </x:row>
    <x:row r="30" ht="40" customHeight="1">
      <x:c r="A30" s="46" t="str">
        <x:v>Gabriela Yumi Fraga Assano</x:v>
      </x:c>
      <x:c r="B30" s="48" t="str">
        <x:v>14573451</x:v>
      </x:c>
      <x:c r="C30" s="44" t="str">
        <x:v>gabiassano@usp.br</x:v>
      </x:c>
      <x:c r="D30" s="52" t="n">
        <x:v>10</x:v>
      </x:c>
      <x:c r="E30" s="52" t="n">
        <x:v>10</x:v>
      </x:c>
      <x:c r="F30" s="52" t="n">
        <x:f>AVERAGE(D30:E30)</x:f>
        <x:v>10</x:v>
      </x:c>
      <x:c r="G30" s="52" t="n">
        <x:v>9.8</x:v>
      </x:c>
      <x:c r="H30" s="54" t="str">
        <x:v>Entregue no Moodle</x:v>
      </x:c>
      <x:c r="I30" s="54" t="str">
        <x:v>Moodle</x:v>
      </x:c>
      <x:c r="J30" s="56" t="str">
        <x:v>Nota adotada após releitura independente cega: 9,8. O relatório identifica corretamente artigo, pastas e unidade de análise, além de registrar as 1.038 linhas e 26 colunas. Informa corretamente os ausentes em instr, exp_adm, exp_car, nivel e indicacao, mas não menciona os 17 ausentes de car_pub. As proporções de experiência administrativa e os intervalos coincidem com as referências: 482/524 no MAPA e 312/354 no MinC. O primeiro teste reporta p = 0,05716 e toma decisões corretas a 1%, 5% e 10%. A construção de alto_nivel, as proporções 187/525 e 155/365 e o segundo teste (p = 0,03889) também estão corretos. A explicação sobre dobrar a amostra usa corretamente 1/√2. Os descontos decorrem da omissão de car_pub, numeração duplicada de tabelas e alguns símbolos matemáticos mal renderizados.</x:v>
      </x:c>
    </x:row>
    <x:row r="31" ht="40" customHeight="1">
      <x:c r="A31" s="46" t="str">
        <x:v>Giovanna Ellen Honório Braga</x:v>
      </x:c>
      <x:c r="B31" s="48" t="str">
        <x:v>14574661</x:v>
      </x:c>
      <x:c r="C31" s="44" t="str">
        <x:v>ghonorio@usp.br</x:v>
      </x:c>
      <x:c r="D31" s="52" t="n">
        <x:v>10</x:v>
      </x:c>
      <x:c r="E31" s="52" t="n">
        <x:v>10</x:v>
      </x:c>
      <x:c r="F31" s="52" t="n">
        <x:f>AVERAGE(D31:E31)</x:f>
        <x:v>10</x:v>
      </x:c>
      <x:c r="G31" s="52" t="n">
        <x:v>8.4</x:v>
      </x:c>
      <x:c r="H31" s="54" t="str">
        <x:v>Entregue no Moodle</x:v>
      </x:c>
      <x:c r="I31" s="54" t="str">
        <x:v>Moodle</x:v>
      </x:c>
      <x:c r="J31" s="56" t="str">
        <x:v>Testes e segundo estimando estão corretos; há perdas em validação, denominadores e clareza de algumas decisões.</x:v>
      </x:c>
    </x:row>
    <x:row r="32" ht="40" customHeight="1">
      <x:c r="A32" s="46" t="str">
        <x:v>Giovanna dos Santos Chistoni Silva</x:v>
      </x:c>
      <x:c r="B32" s="48" t="str">
        <x:v>13860449</x:v>
      </x:c>
      <x:c r="C32" s="44" t="str">
        <x:v>giovannas@usp.br</x:v>
      </x:c>
      <x:c r="D32" s="52" t="n">
        <x:v>10</x:v>
      </x:c>
      <x:c r="E32" s="52" t="n">
        <x:v>10</x:v>
      </x:c>
      <x:c r="F32" s="52" t="n">
        <x:f>AVERAGE(D32:E32)</x:f>
        <x:v>10</x:v>
      </x:c>
      <x:c r="G32" s="52" t="n">
        <x:v>9.5</x:v>
      </x:c>
      <x:c r="H32" s="54" t="str">
        <x:v>Entregue no Moodle</x:v>
      </x:c>
      <x:c r="I32" s="54" t="str">
        <x:v>Moodle</x:v>
      </x:c>
      <x:c r="J32" s="56" t="str">
        <x:v>Trabalho completo e correto; pequenas diferenças de apresentação não afetam as conclusões.</x:v>
      </x:c>
    </x:row>
    <x:row r="33" ht="40" customHeight="1">
      <x:c r="A33" s="46" t="str">
        <x:v>Guilherme Francisco de Lauro</x:v>
      </x:c>
      <x:c r="B33" s="48" t="str">
        <x:v>15456813</x:v>
      </x:c>
      <x:c r="C33" s="44" t="str">
        <x:v>guilherme.lauro@usp.br</x:v>
      </x:c>
      <x:c r="D33" s="52" t="n">
        <x:v>10</x:v>
      </x:c>
      <x:c r="E33" s="52" t="n">
        <x:v>10</x:v>
      </x:c>
      <x:c r="F33" s="52" t="n">
        <x:f>AVERAGE(D33:E33)</x:f>
        <x:v>10</x:v>
      </x:c>
      <x:c r="G33" s="52" t="n">
        <x:v>8.6</x:v>
      </x:c>
      <x:c r="H33" s="54" t="str">
        <x:v>Entregue no Moodle</x:v>
      </x:c>
      <x:c r="I33" s="54" t="str">
        <x:v>Moodle</x:v>
      </x:c>
      <x:c r="J33" s="56" t="str">
        <x:v>Primeiro teste e tabela de exp_adm corretos; no segundo teste exclui observações ao herdar a base filtrada, alterando ligeiramente contagens e p-valor.</x:v>
      </x:c>
    </x:row>
    <x:row r="34" ht="40" customHeight="1">
      <x:c r="A34" s="46" t="str">
        <x:v>Guilherme Pereira Ferreira</x:v>
      </x:c>
      <x:c r="B34" s="48" t="str">
        <x:v>8539774</x:v>
      </x:c>
      <x:c r="C34" s="44" t="str">
        <x:v>guilherme.pereira.ferreira@usp.br</x:v>
      </x:c>
      <x:c r="D34" s="52" t="n">
        <x:v>10</x:v>
      </x:c>
      <x:c r="E34" s="52" t="n">
        <x:v>0</x:v>
      </x:c>
      <x:c r="F34" s="52" t="n">
        <x:f>AVERAGE(D34:E34)</x:f>
        <x:v>5</x:v>
      </x:c>
      <x:c r="G34" s="52" t="n">
        <x:v>0</x:v>
      </x:c>
      <x:c r="H34" s="54" t="str">
        <x:v>Sem envio localizado</x:v>
      </x:c>
      <x:c r="I34" s="54" t="str">
        <x:v>Sem envio</x:v>
      </x:c>
      <x:c r="J34" s="56" t="str">
        <x:v>Nenhum envio localizado no Moodle nem entre as entregas excepcionais por e-mail.</x:v>
      </x:c>
    </x:row>
    <x:row r="35" ht="40" customHeight="1">
      <x:c r="A35" s="46" t="str">
        <x:v>Guilherme Salamuni Gonzaga de Oliveira</x:v>
      </x:c>
      <x:c r="B35" s="48" t="str">
        <x:v>15585578</x:v>
      </x:c>
      <x:c r="C35" s="44" t="str">
        <x:v>guisalamuni@usp.br</x:v>
      </x:c>
      <x:c r="D35" s="52" t="n">
        <x:v>10</x:v>
      </x:c>
      <x:c r="E35" s="52" t="n">
        <x:v>10</x:v>
      </x:c>
      <x:c r="F35" s="52" t="n">
        <x:f>AVERAGE(D35:E35)</x:f>
        <x:v>10</x:v>
      </x:c>
      <x:c r="G35" s="52" t="n">
        <x:v>9.3</x:v>
      </x:c>
      <x:c r="H35" s="54" t="str">
        <x:v>Entregue no Moodle</x:v>
      </x:c>
      <x:c r="I35" s="54" t="str">
        <x:v>Moodle</x:v>
      </x:c>
      <x:c r="J35" s="56" t="str">
        <x:v>Cobertura completa e conclusões corretas; pequenas inconsistências de limpeza/denominadores.</x:v>
      </x:c>
    </x:row>
    <x:row r="36" ht="40" customHeight="1">
      <x:c r="A36" s="46" t="str">
        <x:v>Gustavo Campos dos Santos</x:v>
      </x:c>
      <x:c r="B36" s="48" t="str">
        <x:v>15528312</x:v>
      </x:c>
      <x:c r="C36" s="44" t="str">
        <x:v>guto.stos@usp.br</x:v>
      </x:c>
      <x:c r="D36" s="52" t="n">
        <x:v>10</x:v>
      </x:c>
      <x:c r="E36" s="52" t="n">
        <x:v>10</x:v>
      </x:c>
      <x:c r="F36" s="52" t="n">
        <x:f>AVERAGE(D36:E36)</x:f>
        <x:v>10</x:v>
      </x:c>
      <x:c r="G36" s="52" t="n">
        <x:v>8.7</x:v>
      </x:c>
      <x:c r="H36" s="54" t="str">
        <x:v>Entregue no Moodle</x:v>
      </x:c>
      <x:c r="I36" s="54" t="str">
        <x:v>Moodle</x:v>
      </x:c>
      <x:c r="J36" s="56" t="str">
        <x:v>Resultados centrais corretos; pequenas inconsistências de denominador e explicação reduzem a precisão.</x:v>
      </x:c>
    </x:row>
    <x:row r="37" ht="40" customHeight="1">
      <x:c r="A37" s="46" t="str">
        <x:v>Gustavo Henrique Garcia Dutra</x:v>
      </x:c>
      <x:c r="B37" s="48" t="str">
        <x:v>15553839</x:v>
      </x:c>
      <x:c r="C37" s="44" t="str">
        <x:v>guhdutra21@usp.br</x:v>
      </x:c>
      <x:c r="D37" s="52" t="n">
        <x:v>10</x:v>
      </x:c>
      <x:c r="E37" s="52" t="n">
        <x:v>10</x:v>
      </x:c>
      <x:c r="F37" s="52" t="n">
        <x:f>AVERAGE(D37:E37)</x:f>
        <x:v>10</x:v>
      </x:c>
      <x:c r="G37" s="52" t="n">
        <x:v>7.6</x:v>
      </x:c>
      <x:c r="H37" s="54" t="str">
        <x:v>Entregue no Moodle</x:v>
      </x:c>
      <x:c r="I37" s="54" t="str">
        <x:v>Moodle</x:v>
      </x:c>
      <x:c r="J37" s="56" t="str">
        <x:v>Segundo teste correto, mas o primeiro teste usa limpeza/denominadores inadequados e p-valor próximo de 0,016; discussão substantiva é limitada.</x:v>
      </x:c>
    </x:row>
    <x:row r="38" ht="40" customHeight="1">
      <x:c r="A38" s="46" t="str">
        <x:v>Gustavo Lopes Rangel Madureira</x:v>
      </x:c>
      <x:c r="B38" s="48" t="str">
        <x:v>15457821</x:v>
      </x:c>
      <x:c r="C38" s="44" t="str">
        <x:v>gustavo.madureira@usp.br</x:v>
      </x:c>
      <x:c r="D38" s="52" t="n">
        <x:v>10</x:v>
      </x:c>
      <x:c r="E38" s="52" t="n">
        <x:v>10</x:v>
      </x:c>
      <x:c r="F38" s="52" t="n">
        <x:f>AVERAGE(D38:E38)</x:f>
        <x:v>10</x:v>
      </x:c>
      <x:c r="G38" s="52" t="n">
        <x:v>5.9</x:v>
      </x:c>
      <x:c r="H38" s="54" t="str">
        <x:v>Entregue no Moodle</x:v>
      </x:c>
      <x:c r="I38" s="54" t="str">
        <x:v>Moodle</x:v>
      </x:c>
      <x:c r="J38" s="56" t="str">
        <x:v>Nota adotada após releitura independente cega: 5,9. O relatório identifica adequadamente artigo, MAPA, MinC e a unidade de análise e informa corretamente 1.038 linhas e 26 colunas. A validação, porém, confunde textos "NA" com ausências reais: declara exp_adm = 0, instr = 0 e exp_car = 1, quando os totais são 11, 95 e 76, e não verifica car_pub. A recodificação deixa de reconhecer três ocorrências de  1 . A descritiva usa n() como denominador bruto e apresenta MAPA n = 525, x = 482 e MinC n = 365, x = 309, em vez de 524/482 e 354/312. Também faltam os intervalos de confiança. No primeiro teste, a tabela mostra 0,8803 para o MinC, mas prop.test usa 309/365 = 0,8466, produzindo p = 0,001241 em vez de aproximadamente 0,057; as rejeições a 5% e 1% ficam erradas. Em contraste, alto_nivel é construído corretamente, com 187/525 e 155/365, e o segundo teste (p = 0,04601) é bem interpretado. A discussão de amostra maior acerta a direção do erro-padrão, mas omite 1/√2 e a redução de 29,3%.</x:v>
      </x:c>
    </x:row>
    <x:row r="39" ht="40" customHeight="1">
      <x:c r="A39" s="46" t="str">
        <x:v>Isabel Chinen Nascimento Godoy</x:v>
      </x:c>
      <x:c r="B39" s="48" t="str">
        <x:v>15676771</x:v>
      </x:c>
      <x:c r="C39" s="44" t="str">
        <x:v>isabelchinen@usp.br</x:v>
      </x:c>
      <x:c r="D39" s="52" t="n">
        <x:v>10</x:v>
      </x:c>
      <x:c r="E39" s="52" t="n">
        <x:v>10</x:v>
      </x:c>
      <x:c r="F39" s="52" t="n">
        <x:f>AVERAGE(D39:E39)</x:f>
        <x:v>10</x:v>
      </x:c>
      <x:c r="G39" s="52" t="n">
        <x:v>8.5</x:v>
      </x:c>
      <x:c r="H39" s="54" t="str">
        <x:v>Entregue no Moodle</x:v>
      </x:c>
      <x:c r="I39" s="54" t="str">
        <x:v>Moodle</x:v>
      </x:c>
      <x:c r="J39" s="56" t="str">
        <x:v>Boa cobertura, segundo teste e efeito amostral corretos; pequenas inconsistências na experiência administrativa e na validação.</x:v>
      </x:c>
    </x:row>
    <x:row r="40" ht="40" customHeight="1">
      <x:c r="A40" s="46" t="str">
        <x:v>Jaqueline Lorenseti dos Santos</x:v>
      </x:c>
      <x:c r="B40" s="48" t="str">
        <x:v>13723971</x:v>
      </x:c>
      <x:c r="C40" s="44" t="str">
        <x:v>jaqueline.lorenseti@usp.br</x:v>
      </x:c>
      <x:c r="D40" s="52" t="n">
        <x:v>0</x:v>
      </x:c>
      <x:c r="E40" s="52" t="n">
        <x:v>10</x:v>
      </x:c>
      <x:c r="F40" s="52" t="n">
        <x:f>AVERAGE(D40:E40)</x:f>
        <x:v>5</x:v>
      </x:c>
      <x:c r="G40" s="52" t="n">
        <x:v>0</x:v>
      </x:c>
      <x:c r="H40" s="54" t="str">
        <x:v>Sem envio localizado</x:v>
      </x:c>
      <x:c r="I40" s="54" t="str">
        <x:v>Sem envio</x:v>
      </x:c>
      <x:c r="J40" s="56" t="str">
        <x:v>Nenhum envio localizado no Moodle nem entre as entregas excepcionais por e-mail.</x:v>
      </x:c>
    </x:row>
    <x:row r="41" ht="40" customHeight="1">
      <x:c r="A41" s="46" t="str">
        <x:v>Jhonathan Rafael Oliveira</x:v>
      </x:c>
      <x:c r="B41" s="48" t="str">
        <x:v>14678166</x:v>
      </x:c>
      <x:c r="C41" s="44" t="str">
        <x:v>jhonathanoliveira151@usp.br</x:v>
      </x:c>
      <x:c r="D41" s="52" t="n">
        <x:v>0</x:v>
      </x:c>
      <x:c r="E41" s="52" t="n">
        <x:v>0</x:v>
      </x:c>
      <x:c r="F41" s="52" t="n">
        <x:f>AVERAGE(D41:E41)</x:f>
        <x:v>0</x:v>
      </x:c>
      <x:c r="G41" s="52" t="n">
        <x:v>0</x:v>
      </x:c>
      <x:c r="H41" s="54" t="str">
        <x:v>Sem envio localizado</x:v>
      </x:c>
      <x:c r="I41" s="54" t="str">
        <x:v>Sem envio</x:v>
      </x:c>
      <x:c r="J41" s="56" t="str">
        <x:v>Nenhum envio localizado no Moodle nem entre as entregas excepcionais por e-mail.</x:v>
      </x:c>
    </x:row>
    <x:row r="42" ht="40" customHeight="1">
      <x:c r="A42" s="46" t="str">
        <x:v>Joao Neto Campos dos Santos</x:v>
      </x:c>
      <x:c r="B42" s="48" t="str">
        <x:v>8579081</x:v>
      </x:c>
      <x:c r="C42" s="44" t="str">
        <x:v>joao.neto.santos@usp.br</x:v>
      </x:c>
      <x:c r="D42" s="52" t="n">
        <x:v>0</x:v>
      </x:c>
      <x:c r="E42" s="52" t="n">
        <x:v>0</x:v>
      </x:c>
      <x:c r="F42" s="52" t="n">
        <x:f>AVERAGE(D42:E42)</x:f>
        <x:v>0</x:v>
      </x:c>
      <x:c r="G42" s="52" t="n">
        <x:v>0</x:v>
      </x:c>
      <x:c r="H42" s="54" t="str">
        <x:v>Sem envio localizado</x:v>
      </x:c>
      <x:c r="I42" s="54" t="str">
        <x:v>Sem envio</x:v>
      </x:c>
      <x:c r="J42" s="56" t="str">
        <x:v>Nenhum envio localizado no Moodle nem entre as entregas excepcionais por e-mail.</x:v>
      </x:c>
    </x:row>
    <x:row r="43" ht="40" customHeight="1">
      <x:c r="A43" s="46" t="str">
        <x:v>Joao Vitor Barbosa Mariano Ferreira</x:v>
      </x:c>
      <x:c r="B43" s="48" t="str">
        <x:v>15464083</x:v>
      </x:c>
      <x:c r="C43" s="44" t="str">
        <x:v>joao.barbosamf@usp.br</x:v>
      </x:c>
      <x:c r="D43" s="52" t="n">
        <x:v>10</x:v>
      </x:c>
      <x:c r="E43" s="52" t="n">
        <x:v>0</x:v>
      </x:c>
      <x:c r="F43" s="52" t="n">
        <x:f>AVERAGE(D43:E43)</x:f>
        <x:v>5</x:v>
      </x:c>
      <x:c r="G43" s="52" t="n">
        <x:v>8.9</x:v>
      </x:c>
      <x:c r="H43" s="54" t="str">
        <x:v>Entregue no Moodle</x:v>
      </x:c>
      <x:c r="I43" s="54" t="str">
        <x:v>Moodle</x:v>
      </x:c>
      <x:c r="J43" s="56" t="str">
        <x:v>Resultados principais corretos; pequenas perdas por denominadores/limpeza e apresentação.</x:v>
      </x:c>
    </x:row>
    <x:row r="44" ht="40" customHeight="1">
      <x:c r="A44" s="46" t="str">
        <x:v>João Pedro Prates da Conceição Galhianne</x:v>
      </x:c>
      <x:c r="B44" s="48" t="str">
        <x:v>8682184</x:v>
      </x:c>
      <x:c r="C44" s="44" t="str">
        <x:v>joao.cgalhianne@usp.br</x:v>
      </x:c>
      <x:c r="D44" s="52" t="n">
        <x:v>10</x:v>
      </x:c>
      <x:c r="E44" s="52" t="n">
        <x:v>10</x:v>
      </x:c>
      <x:c r="F44" s="52" t="n">
        <x:f>AVERAGE(D44:E44)</x:f>
        <x:v>10</x:v>
      </x:c>
      <x:c r="G44" s="52" t="n">
        <x:v>9.7</x:v>
      </x:c>
      <x:c r="H44" s="54" t="str">
        <x:v>Entregue no Moodle</x:v>
      </x:c>
      <x:c r="I44" s="54" t="str">
        <x:v>Moodle</x:v>
      </x:c>
      <x:c r="J44" s="56" t="str">
        <x:v>Trabalho completo, correto, claro e reprodutível; resultados alinhados ao gabarito.</x:v>
      </x:c>
    </x:row>
    <x:row r="45" ht="40" customHeight="1">
      <x:c r="A45" s="46" t="str">
        <x:v>João Victor Ricchini Freire de Carvalho</x:v>
      </x:c>
      <x:c r="B45" s="48" t="str">
        <x:v>10765228</x:v>
      </x:c>
      <x:c r="C45" s="44" t="str">
        <x:v>joaovitor.ricchini@usp.br</x:v>
      </x:c>
      <x:c r="D45" s="52" t="n">
        <x:v>0</x:v>
      </x:c>
      <x:c r="E45" s="52" t="n">
        <x:v>10</x:v>
      </x:c>
      <x:c r="F45" s="52" t="n">
        <x:f>AVERAGE(D45:E45)</x:f>
        <x:v>5</x:v>
      </x:c>
      <x:c r="G45" s="52" t="n">
        <x:v>7.5</x:v>
      </x:c>
      <x:c r="H45" s="54" t="str">
        <x:v>Entregue no Moodle</x:v>
      </x:c>
      <x:c r="I45" s="54" t="str">
        <x:v>Moodle</x:v>
      </x:c>
      <x:c r="J45" s="56" t="str">
        <x:v>Não normaliza todos os valores irregulares de exp_adm, produzindo 309/355 no MinC e p-valor 0,022; segundo teste e demais interpretações estão corretos.</x:v>
      </x:c>
    </x:row>
    <x:row r="46" ht="40" customHeight="1">
      <x:c r="A46" s="46" t="str">
        <x:v>João Vítor Fávero Barros</x:v>
      </x:c>
      <x:c r="B46" s="48" t="str">
        <x:v>14583212</x:v>
      </x:c>
      <x:c r="C46" s="44" t="str">
        <x:v>jvfaverobarros@usp.br</x:v>
      </x:c>
      <x:c r="D46" s="52" t="n">
        <x:v>10</x:v>
      </x:c>
      <x:c r="E46" s="52" t="n">
        <x:v>10</x:v>
      </x:c>
      <x:c r="F46" s="52" t="n">
        <x:f>AVERAGE(D46:E46)</x:f>
        <x:v>10</x:v>
      </x:c>
      <x:c r="G46" s="52" t="n">
        <x:v>8.7</x:v>
      </x:c>
      <x:c r="H46" s="54" t="str">
        <x:v>Entregue no Moodle</x:v>
      </x:c>
      <x:c r="I46" s="54" t="str">
        <x:v>Moodle</x:v>
      </x:c>
      <x:c r="J46" s="56" t="str">
        <x:v>Testes centrais corretos; algumas inconsistências na tabela descritiva, validação e explicação numérica.</x:v>
      </x:c>
    </x:row>
    <x:row r="47" ht="40" customHeight="1">
      <x:c r="A47" s="46" t="str">
        <x:v>Ju Magalhães</x:v>
      </x:c>
      <x:c r="B47" s="48" t="str">
        <x:v>14654997</x:v>
      </x:c>
      <x:c r="C47" s="44" t="str">
        <x:v>juliamagalhaes@usp.br</x:v>
      </x:c>
      <x:c r="D47" s="52" t="n">
        <x:v>10</x:v>
      </x:c>
      <x:c r="E47" s="52" t="n">
        <x:v>10</x:v>
      </x:c>
      <x:c r="F47" s="52" t="n">
        <x:f>AVERAGE(D47:E47)</x:f>
        <x:v>10</x:v>
      </x:c>
      <x:c r="G47" s="52" t="n">
        <x:v>5.4</x:v>
      </x:c>
      <x:c r="H47" s="54" t="str">
        <x:v>Entregue no Moodle</x:v>
      </x:c>
      <x:c r="I47" s="54" t="str">
        <x:v>Moodle</x:v>
      </x:c>
      <x:c r="J47" s="56" t="str">
        <x:v>Nota adotada após releitura independente cega: 5,4. O relatório identifica corretamente artigo, pastas e unidade de análise e explica por que a mesma pessoa pode aparecer mais de uma vez. Registra 1.038 linhas, 26 colunas, variáveis e observações por órgão. Contudo, a estudante declara não ter conseguido calcular os valores ausentes, componente central da validação. Há tratamento parcial de código inválido, convertendo exp_adm = 3 em ausente. Na descritiva, a tabela apresenta corretamente MAPA n = 524, x = 482, p = 0,920 e MinC n = 354, x = 312, p = 0,881, além de intervalos aproximadamente corretos. A narrativa, porém, troca essas proporções por 91,5% e 85,5%, inconsistentes com a própria tabela. No primeiro teste, p = 0,05716, a direção e a rejeição a 10% estão corretos, mas o texto contraditoriamente afirma rejeição a 5%; a decisão a 1% fica incompleta. Não há construção de alto_nivel nem segundo teste. Sobre ampliar a amostra, reconhece a redução do erro-padrão, mas não apresenta 1/√2 e afirma proporcionalidade inversa direta a n. O código é fragmentário.</x:v>
      </x:c>
    </x:row>
    <x:row r="48" ht="40" customHeight="1">
      <x:c r="A48" s="46" t="str">
        <x:v>Julia Franca e Castilho</x:v>
      </x:c>
      <x:c r="B48" s="48" t="str">
        <x:v>14584443</x:v>
      </x:c>
      <x:c r="C48" s="44" t="str">
        <x:v>juliafrancaecastilho@usp.br</x:v>
      </x:c>
      <x:c r="D48" s="52" t="n">
        <x:v>10</x:v>
      </x:c>
      <x:c r="E48" s="52" t="n">
        <x:v>10</x:v>
      </x:c>
      <x:c r="F48" s="52" t="n">
        <x:f>AVERAGE(D48:E48)</x:f>
        <x:v>10</x:v>
      </x:c>
      <x:c r="G48" s="52" t="n">
        <x:v>9.5</x:v>
      </x:c>
      <x:c r="H48" s="54" t="str">
        <x:v>Entregue no Moodle</x:v>
      </x:c>
      <x:c r="I48" s="54" t="str">
        <x:v>Moodle</x:v>
      </x:c>
      <x:c r="J48" s="56" t="str">
        <x:v>Resultados, testes e interpretações corretos; pequenas perdas de apresentação.</x:v>
      </x:c>
    </x:row>
    <x:row r="49" ht="40" customHeight="1">
      <x:c r="A49" s="46" t="str">
        <x:v>Jéssica de Morais Batista</x:v>
      </x:c>
      <x:c r="B49" s="48" t="str">
        <x:v>10437013</x:v>
      </x:c>
      <x:c r="C49" s="44" t="str">
        <x:v>jessica.morais@usp.br</x:v>
      </x:c>
      <x:c r="D49" s="52" t="n">
        <x:v>10</x:v>
      </x:c>
      <x:c r="E49" s="52" t="n">
        <x:v>10</x:v>
      </x:c>
      <x:c r="F49" s="52" t="n">
        <x:f>AVERAGE(D49:E49)</x:f>
        <x:v>10</x:v>
      </x:c>
      <x:c r="G49" s="52" t="n">
        <x:v>8.2</x:v>
      </x:c>
      <x:c r="H49" s="54" t="str">
        <x:v>Entregue no Moodle</x:v>
      </x:c>
      <x:c r="I49" s="54" t="str">
        <x:v>Moodle</x:v>
      </x:c>
      <x:c r="J49" s="56" t="str">
        <x:v>Primeiro e segundo testes são essencialmente corretos, mas a tabela descritiva apresenta denominadores/proporções inconsistentes e há excesso de repetição.</x:v>
      </x:c>
    </x:row>
    <x:row r="50" ht="40" customHeight="1">
      <x:c r="A50" s="46" t="str">
        <x:v>Lara Nunes de Lacerda</x:v>
      </x:c>
      <x:c r="B50" s="48" t="str">
        <x:v>14586921</x:v>
      </x:c>
      <x:c r="C50" s="44" t="str">
        <x:v>lara.nl@usp.br</x:v>
      </x:c>
      <x:c r="D50" s="52" t="n">
        <x:v>10</x:v>
      </x:c>
      <x:c r="E50" s="52" t="n">
        <x:v>10</x:v>
      </x:c>
      <x:c r="F50" s="52" t="n">
        <x:f>AVERAGE(D50:E50)</x:f>
        <x:v>10</x:v>
      </x:c>
      <x:c r="G50" s="52" t="n">
        <x:v>9.4</x:v>
      </x:c>
      <x:c r="H50" s="54" t="str">
        <x:v>Entregue no Moodle</x:v>
      </x:c>
      <x:c r="I50" s="54" t="str">
        <x:v>Moodle</x:v>
      </x:c>
      <x:c r="J50" s="56" t="str">
        <x:v>Nota adotada após releitura independente cega: 9,4. A identificação do artigo, das pastas e da unidade de análise está correta. A leitura informa 1.038 linhas, 26 colunas, variáveis e os principais ausentes, incluindo exp_adm = 11, exp_car = 76, instr = 95 e car_pub = 17. Há tratamento de códigos problemáticos, mas não se registram expressamente nivel = 0 e indicacao = 0, e converter exp_car = 5 para 3 é parcialmente conjectural. Para exp_adm, os resultados estão corretos: MAPA 482/524 e MinC 312/354. Os intervalos de Wald são coerentes, mas a descrição como “95% de certeza” e “5% de erro” é imprecisa. O primeiro teste preserva o estimando, obtém diferença −0,03849 e p = 0,0573. alto_nivel, as proporções 35,62% e 42,47%, a diferença 0,06847 e p = 0,0389 também estão corretos, embora “comprovar” seja excessivo e a segunda tabela não apareça. As decisões a 10% e 1% são corretas, mas não rejeitar não permite afirmar igualdade. A redução do erro-padrão por 1/√2, de 0,02022 para 0,01429, está correta.</x:v>
      </x:c>
    </x:row>
    <x:row r="51" ht="40" customHeight="1">
      <x:c r="A51" s="46" t="str">
        <x:v>Larissa Garcez Ribeiro</x:v>
      </x:c>
      <x:c r="B51" s="48" t="str">
        <x:v>14655362</x:v>
      </x:c>
      <x:c r="C51" s="44" t="str">
        <x:v>larissagarcez@usp.br</x:v>
      </x:c>
      <x:c r="D51" s="52" t="n">
        <x:v>10</x:v>
      </x:c>
      <x:c r="E51" s="52" t="n">
        <x:v>10</x:v>
      </x:c>
      <x:c r="F51" s="52" t="n">
        <x:f>AVERAGE(D51:E51)</x:f>
        <x:v>10</x:v>
      </x:c>
      <x:c r="G51" s="52" t="n">
        <x:v>9.6</x:v>
      </x:c>
      <x:c r="H51" s="54" t="str">
        <x:v>Entregue no Moodle</x:v>
      </x:c>
      <x:c r="I51" s="54" t="str">
        <x:v>Moodle</x:v>
      </x:c>
      <x:c r="J51" s="56" t="str">
        <x:v>Trabalho completo e correto, com resultados e interpretações alinhados ao gabarito.</x:v>
      </x:c>
    </x:row>
    <x:row r="52" ht="40" customHeight="1">
      <x:c r="A52" s="46" t="str">
        <x:v>Leticia Rodrigues de Sousa</x:v>
      </x:c>
      <x:c r="B52" s="48" t="str">
        <x:v>15582209</x:v>
      </x:c>
      <x:c r="C52" s="44" t="str">
        <x:v>letumrodriguesz@usp.br</x:v>
      </x:c>
      <x:c r="D52" s="52" t="n">
        <x:v>10</x:v>
      </x:c>
      <x:c r="E52" s="52" t="n">
        <x:v>0</x:v>
      </x:c>
      <x:c r="F52" s="52" t="n">
        <x:f>AVERAGE(D52:E52)</x:f>
        <x:v>5</x:v>
      </x:c>
      <x:c r="G52" s="52" t="n">
        <x:v>9.1</x:v>
      </x:c>
      <x:c r="H52" s="54" t="str">
        <x:v>Entregue no Moodle</x:v>
      </x:c>
      <x:c r="I52" s="54" t="str">
        <x:v>Moodle</x:v>
      </x:c>
      <x:c r="J52" s="56" t="str">
        <x:v>Resultados inferenciais e interpretação corretos; pequenas perdas em validação e tabela descritiva.</x:v>
      </x:c>
    </x:row>
    <x:row r="53" ht="40" customHeight="1">
      <x:c r="A53" s="46" t="str">
        <x:v>Lincoln Antonio Andrade de Moura</x:v>
      </x:c>
      <x:c r="B53" s="48" t="str">
        <x:v>14589448</x:v>
      </x:c>
      <x:c r="C53" s="44" t="str">
        <x:v>lincolnm@usp.br</x:v>
      </x:c>
      <x:c r="D53" s="52" t="n">
        <x:v>10</x:v>
      </x:c>
      <x:c r="E53" s="52" t="n">
        <x:v>0</x:v>
      </x:c>
      <x:c r="F53" s="52" t="n">
        <x:f>AVERAGE(D53:E53)</x:f>
        <x:v>5</x:v>
      </x:c>
      <x:c r="G53" s="52" t="n">
        <x:v>8.3</x:v>
      </x:c>
      <x:c r="H53" s="54" t="str">
        <x:v>Entregue no Moodle</x:v>
      </x:c>
      <x:c r="I53" s="54" t="str">
        <x:v>Moodle</x:v>
      </x:c>
      <x:c r="J53" s="56" t="str">
        <x:v>Nota adotada após releitura independente cega: 8,3. O relatório identifica artigo e pastas e explica por que uma pessoa pode reaparecer, mas descreve a unidade como “pessoas nomeadas”, sem definir com precisão que cada linha representa um ocupante/cargo observado. Informa corretamente 1.038 linhas, 26 colunas, nomes das variáveis e ausências em sete campos. Inspeciona valores de exp_adm, exp_car, nivel, instr e indicacao; contudo, a limpeza de exp_adm produz erro no MinC: n = 351 e x = 309, em vez de n = 354 e x = 312. MAPA está correto: 524, 482 e 91,98%; ambos os intervalos são informados. No teste 1, o uso de teste t sobre variável binária preserva aproximadamente o estimando e gera p = 0,0607, dentro da faixa defensável; a decisão a 5% está correta, embora a explicação do p-valor confunda riscos de erro. O segundo teste é bem executado: construção de alto_nivel, contagens exatas e p = 0,0388873, mas falta avaliar substantivamente a magnitude. As decisões a 10% e 1% estão corretas, apesar de chamar 0,0607 de alfa. Reconhece que dobrar n reduz o erro-padrão, mas omite 1/√2. Os resultados são legíveis, porém não aparece o código gerador.</x:v>
      </x:c>
    </x:row>
    <x:row r="54" ht="40" customHeight="1">
      <x:c r="A54" s="46" t="str">
        <x:v>Lucas Gonçalves de Lima</x:v>
      </x:c>
      <x:c r="B54" s="48" t="str">
        <x:v>11075655</x:v>
      </x:c>
      <x:c r="C54" s="44" t="str">
        <x:v>lucasglima@usp.br</x:v>
      </x:c>
      <x:c r="D54" s="52" t="n">
        <x:v>0</x:v>
      </x:c>
      <x:c r="E54" s="52" t="n">
        <x:v>0</x:v>
      </x:c>
      <x:c r="F54" s="52" t="n">
        <x:f>AVERAGE(D54:E54)</x:f>
        <x:v>0</x:v>
      </x:c>
      <x:c r="G54" s="52" t="n">
        <x:v>0</x:v>
      </x:c>
      <x:c r="H54" s="54" t="str">
        <x:v>Sem envio localizado</x:v>
      </x:c>
      <x:c r="I54" s="54" t="str">
        <x:v>Sem envio</x:v>
      </x:c>
      <x:c r="J54" s="56" t="str">
        <x:v>Nenhum envio localizado no Moodle nem entre as entregas excepcionais por e-mail.</x:v>
      </x:c>
    </x:row>
    <x:row r="55" ht="40" customHeight="1">
      <x:c r="A55" s="46" t="str">
        <x:v>Luccas Eduardo Ferraz da Silva</x:v>
      </x:c>
      <x:c r="B55" s="48" t="str">
        <x:v>13636981</x:v>
      </x:c>
      <x:c r="C55" s="44" t="str">
        <x:v>luccas.eduardo@usp.br</x:v>
      </x:c>
      <x:c r="D55" s="52" t="n">
        <x:v>10</x:v>
      </x:c>
      <x:c r="E55" s="52" t="n">
        <x:v>10</x:v>
      </x:c>
      <x:c r="F55" s="52" t="n">
        <x:f>AVERAGE(D55:E55)</x:f>
        <x:v>10</x:v>
      </x:c>
      <x:c r="G55" s="52" t="n">
        <x:v>8.9</x:v>
      </x:c>
      <x:c r="H55" s="54" t="str">
        <x:v>Entregue no Moodle</x:v>
      </x:c>
      <x:c r="I55" s="54" t="str">
        <x:v>Moodle</x:v>
      </x:c>
      <x:c r="J55" s="56" t="str">
        <x:v>Análise completa, com variantes aceitáveis dos testes; pequenas inconsistências de denominador/limpeza.</x:v>
      </x:c>
    </x:row>
    <x:row r="56" ht="40" customHeight="1">
      <x:c r="A56" s="46" t="str">
        <x:v>Luiz Antonio Eleuterio de Lima</x:v>
      </x:c>
      <x:c r="B56" s="48" t="str">
        <x:v>14759962</x:v>
      </x:c>
      <x:c r="C56" s="44" t="str">
        <x:v>luiz.eleuterio@usp.br</x:v>
      </x:c>
      <x:c r="D56" s="52" t="n">
        <x:v>10</x:v>
      </x:c>
      <x:c r="E56" s="52" t="n">
        <x:v>10</x:v>
      </x:c>
      <x:c r="F56" s="52" t="n">
        <x:f>AVERAGE(D56:E56)</x:f>
        <x:v>10</x:v>
      </x:c>
      <x:c r="G56" s="52" t="n">
        <x:v>7.7</x:v>
      </x:c>
      <x:c r="H56" s="54" t="str">
        <x:v>Entregue no Moodle</x:v>
      </x:c>
      <x:c r="I56" s="54" t="str">
        <x:v>Moodle</x:v>
      </x:c>
      <x:c r="J56" s="56" t="str">
        <x:v>Nota adotada após releitura independente cega: 7,7. O relatório acerta a identificação do artigo, das pastas e da nomeação como unidade de análise. Informa corretamente 1.038 linhas, 26 colunas e frequências por órgão. A validação, porém, é internamente inconsistente: a Tabela 3 registra zero ausentes em instr e exp_adm e somente um em exp_car, enquanto o texto posterior encontra corretamente 95, 11 e 76. A limpeza exclui códigos tipográficos de exp_adm que deveriam ser normalizados, reduzindo indevidamente o MinC a 351 observações e 309 sucessos, em vez de 354 e 312. Isso afeta a descritiva e o primeiro teste, embora proporções, intervalos e p = 0,05187 permaneçam próximos e a decisão a 5% seja correta. Para alto_nivel, construção, contagens, proporções e p = 0,03889 estão corretos; contudo, o texto primeiro rejeita H0 e logo depois afirma o oposto, uma contradição decisória importante, e não julga claramente a magnitude substantiva. As decisões a 10% e 1% estão corretas. Ao dobrar a amostra, demonstra uma redução aproximadamente compatível com 1/√2, mas não explicita esse fator. O PDF documenta scripts, fonte e execução, embora contenha repetições e contradições.</x:v>
      </x:c>
    </x:row>
    <x:row r="57" ht="40" customHeight="1">
      <x:c r="A57" s="46" t="str">
        <x:v>Luiz Fernando Lima Chaves</x:v>
      </x:c>
      <x:c r="B57" s="48" t="str">
        <x:v>14678357</x:v>
      </x:c>
      <x:c r="C57" s="44" t="str">
        <x:v>fernando.04chaves@usp.br</x:v>
      </x:c>
      <x:c r="D57" s="52" t="n">
        <x:v>10</x:v>
      </x:c>
      <x:c r="E57" s="52" t="n">
        <x:v>10</x:v>
      </x:c>
      <x:c r="F57" s="52" t="n">
        <x:f>AVERAGE(D57:E57)</x:f>
        <x:v>10</x:v>
      </x:c>
      <x:c r="G57" s="52" t="n">
        <x:v>9</x:v>
      </x:c>
      <x:c r="H57" s="54" t="str">
        <x:v>Entregue no Moodle</x:v>
      </x:c>
      <x:c r="I57" s="54" t="str">
        <x:v>Moodle</x:v>
      </x:c>
      <x:c r="J57" s="56" t="str">
        <x:v>Resultados inferenciais corretos e boa interpretação; pequenas perdas na tabela descritiva e validação.</x:v>
      </x:c>
    </x:row>
    <x:row r="58" ht="40" customHeight="1">
      <x:c r="A58" s="46" t="str">
        <x:v>Maria Luisa Reis Melo</x:v>
      </x:c>
      <x:c r="B58" s="48" t="str">
        <x:v>16889846</x:v>
      </x:c>
      <x:c r="C58" s="44" t="str">
        <x:v>malu.reismelo@usp.br</x:v>
      </x:c>
      <x:c r="D58" s="52" t="n">
        <x:v>10</x:v>
      </x:c>
      <x:c r="E58" s="52" t="n">
        <x:v>10</x:v>
      </x:c>
      <x:c r="F58" s="52" t="n">
        <x:f>AVERAGE(D58:E58)</x:f>
        <x:v>10</x:v>
      </x:c>
      <x:c r="G58" s="52" t="n">
        <x:v>9.6</x:v>
      </x:c>
      <x:c r="H58" s="54" t="str">
        <x:v>Entregue no Moodle</x:v>
      </x:c>
      <x:c r="I58" s="54" t="str">
        <x:v>Moodle</x:v>
      </x:c>
      <x:c r="J58" s="56" t="str">
        <x:v>Trabalho completo, correto e bem interpretado, com resultados alinhados ao gabarito.</x:v>
      </x:c>
    </x:row>
    <x:row r="59" ht="40" customHeight="1">
      <x:c r="A59" s="46" t="str">
        <x:v>Mariana Araujo Püschel</x:v>
      </x:c>
      <x:c r="B59" s="48" t="str">
        <x:v>4725594</x:v>
      </x:c>
      <x:c r="C59" s="44" t="str">
        <x:v>marianapuschel@usp.br</x:v>
      </x:c>
      <x:c r="D59" s="52" t="n">
        <x:v>10</x:v>
      </x:c>
      <x:c r="E59" s="52" t="n">
        <x:v>10</x:v>
      </x:c>
      <x:c r="F59" s="52" t="n">
        <x:f>AVERAGE(D59:E59)</x:f>
        <x:v>10</x:v>
      </x:c>
      <x:c r="G59" s="52" t="n">
        <x:v>5</x:v>
      </x:c>
      <x:c r="H59" s="54" t="str">
        <x:v>Entregue no Moodle</x:v>
      </x:c>
      <x:c r="I59" s="54" t="str">
        <x:v>Moodle</x:v>
      </x:c>
      <x:c r="J59" s="56" t="str">
        <x:v>Nota final ajustada pelo docente para 5,0 (releitura independente: 4,2). Há acertos na identificação do estudo e da unidade: nomeações em MAPA e MinC, com possível repetição do indivíduo. A leitura registra 1.038 linhas, 26 colunas, variáveis e vários totais de ausências, além de códigos inesperados em exp_adm. Contudo, não trata esses códigos adequadamente e confunde as escalas de exp_car e nivel. Na descritiva, combina exp_adm e exp_car e converte ausências ou erros em ausência de experiência, produzindo MinC 309/365 = 0,8466, em vez de 312/354 = 0,8814, e MAPA 483/525 com denominador incorreto. O teste 1 retorna p = 0,000569 e rejeita a 5%, quando o teste correto tem p ≈ 0,057 e não rejeita a 5%. No segundo bloco, alto_nivel é derivada de exp_car, não de nivel = 5/6, alterando proporções, direção e p-valor: 0,3987, em vez de aproximadamente 0,0389. As decisões a 10% e 1% ficam erradas e a discussão inverte a exigência dos limiares. A apresentação é organizada, mas falta código reprodutível das recodificações-chave. Ao dobrar n, mantém os sucessos fixos e não demonstra a redução por 1/√2.</x:v>
      </x:c>
    </x:row>
    <x:row r="60" ht="40" customHeight="1">
      <x:c r="A60" s="46" t="str">
        <x:v>Mariana Rodrigues Carneiro Silva</x:v>
      </x:c>
      <x:c r="B60" s="48" t="str">
        <x:v>14596738</x:v>
      </x:c>
      <x:c r="C60" s="44" t="str">
        <x:v>mariana.rodcs@usp.br</x:v>
      </x:c>
      <x:c r="D60" s="52" t="n">
        <x:v>10</x:v>
      </x:c>
      <x:c r="E60" s="52" t="n">
        <x:v>0</x:v>
      </x:c>
      <x:c r="F60" s="52" t="n">
        <x:f>AVERAGE(D60:E60)</x:f>
        <x:v>5</x:v>
      </x:c>
      <x:c r="G60" s="52" t="n">
        <x:v>6.3</x:v>
      </x:c>
      <x:c r="H60" s="54" t="str">
        <x:v>Entregue no Moodle</x:v>
      </x:c>
      <x:c r="I60" s="54" t="str">
        <x:v>Moodle</x:v>
      </x:c>
      <x:c r="J60" s="56" t="str">
        <x:v>Nota adotada após releitura independente cega: 6,3. O relatório identifica adequadamente artigo, ministérios e unidade de análise, informa 1.038 × 26 e lista as variáveis. O problema central é a limpeza: colSums(is.na()) contabiliza somente ausências lógicas e retorna 0/1/0 para exp_adm/exp_car/instr, embora as tabelas exibam códigos textuais ou inválidos; car_pub não é verificada. O texto afirma que recodificaria os valores, mas o código não executa essa etapa. Isso contamina as questões 3 e 4: usa MAPA n = 525, x = 482, p = 0,9181 e MinC n = 365, x = 309, p = 0,8466, em vez de n = 524/354, x = 482/312 e p ≈ 0,9199/0,8814. O teste 1 produz p = 0,000845, incompatível com a referência p ≈ 0,057, que implica rejeição somente a 10%. Em contraste, alto_nivel é construído corretamente; as proporções 0,3562 e 0,4247 e p = 0,03889 sustentam rejeição a 5%, mas não a 1%. A discussão de alfa é conceitualmente correta, porém não decide explicitamente os dois testes. A questão sobre amostra maior acerta direção e estreitamento do intervalo, mas omite 1/√2 e a redução de 29,3%. Código e saídas são legíveis, embora a limpeza anunciada não seja executada.</x:v>
      </x:c>
    </x:row>
    <x:row r="61" ht="40" customHeight="1">
      <x:c r="A61" s="46" t="str">
        <x:v>Mariana Sarmento Patrone</x:v>
      </x:c>
      <x:c r="B61" s="48" t="str">
        <x:v>12234981</x:v>
      </x:c>
      <x:c r="C61" s="44" t="str">
        <x:v>marianapatrone@usp.br</x:v>
      </x:c>
      <x:c r="D61" s="52" t="n">
        <x:v>0</x:v>
      </x:c>
      <x:c r="E61" s="52" t="n">
        <x:v>0</x:v>
      </x:c>
      <x:c r="F61" s="52" t="n">
        <x:f>AVERAGE(D61:E61)</x:f>
        <x:v>0</x:v>
      </x:c>
      <x:c r="G61" s="52" t="n">
        <x:v>0</x:v>
      </x:c>
      <x:c r="H61" s="54" t="str">
        <x:v>Sem envio localizado</x:v>
      </x:c>
      <x:c r="I61" s="54" t="str">
        <x:v>Sem envio</x:v>
      </x:c>
      <x:c r="J61" s="56" t="str">
        <x:v>Nenhum envio localizado no Moodle nem entre as entregas excepcionais por e-mail.</x:v>
      </x:c>
    </x:row>
    <x:row r="62" ht="40" customHeight="1">
      <x:c r="A62" s="46" t="str">
        <x:v>Melyssa da Mata Bortuluzi</x:v>
      </x:c>
      <x:c r="B62" s="48" t="str">
        <x:v>15524472</x:v>
      </x:c>
      <x:c r="C62" s="44" t="str">
        <x:v>melyssabortuluzi@usp.br</x:v>
      </x:c>
      <x:c r="D62" s="52" t="n">
        <x:v>10</x:v>
      </x:c>
      <x:c r="E62" s="52" t="n">
        <x:v>10</x:v>
      </x:c>
      <x:c r="F62" s="52" t="n">
        <x:f>AVERAGE(D62:E62)</x:f>
        <x:v>10</x:v>
      </x:c>
      <x:c r="G62" s="52" t="n">
        <x:v>8.8</x:v>
      </x:c>
      <x:c r="H62" s="54" t="str">
        <x:v>Entregue no Moodle</x:v>
      </x:c>
      <x:c r="I62" s="54" t="str">
        <x:v>Moodle</x:v>
      </x:c>
      <x:c r="J62" s="56" t="str">
        <x:v>Testes e conclusões principais corretos; pequenas inconsistências na tabela descritiva e na validação.</x:v>
      </x:c>
    </x:row>
    <x:row r="63" ht="40" customHeight="1">
      <x:c r="A63" s="46" t="str">
        <x:v>Mirela Gabriela Martins de Mattos</x:v>
      </x:c>
      <x:c r="B63" s="48" t="str">
        <x:v>15361241</x:v>
      </x:c>
      <x:c r="C63" s="44" t="str">
        <x:v>mirela.mattos@usp.br</x:v>
      </x:c>
      <x:c r="D63" s="52" t="n">
        <x:v>10</x:v>
      </x:c>
      <x:c r="E63" s="52" t="n">
        <x:v>10</x:v>
      </x:c>
      <x:c r="F63" s="52" t="n">
        <x:f>AVERAGE(D63:E63)</x:f>
        <x:v>10</x:v>
      </x:c>
      <x:c r="G63" s="52" t="n">
        <x:v>8.7</x:v>
      </x:c>
      <x:c r="H63" s="54" t="str">
        <x:v>Entregue no Moodle</x:v>
      </x:c>
      <x:c r="I63" s="54" t="str">
        <x:v>Moodle</x:v>
      </x:c>
      <x:c r="J63" s="56" t="str">
        <x:v>Relatório amplo e bem interpretado; usa denominadores ligeiramente incorretos no MinC, mas preserva as conclusões centrais.</x:v>
      </x:c>
    </x:row>
    <x:row r="64" ht="40" customHeight="1">
      <x:c r="A64" s="46" t="str">
        <x:v>Murilo Rocha Souto Maior</x:v>
      </x:c>
      <x:c r="B64" s="48" t="str">
        <x:v>13636574</x:v>
      </x:c>
      <x:c r="C64" s="44" t="str">
        <x:v>murilorsm@usp.br</x:v>
      </x:c>
      <x:c r="D64" s="52" t="n">
        <x:v>10</x:v>
      </x:c>
      <x:c r="E64" s="52" t="n">
        <x:v>10</x:v>
      </x:c>
      <x:c r="F64" s="52" t="n">
        <x:f>AVERAGE(D64:E64)</x:f>
        <x:v>10</x:v>
      </x:c>
      <x:c r="G64" s="52" t="n">
        <x:v>9.2</x:v>
      </x:c>
      <x:c r="H64" s="54" t="str">
        <x:v>Entregue no Moodle</x:v>
      </x:c>
      <x:c r="I64" s="54" t="str">
        <x:v>Moodle</x:v>
      </x:c>
      <x:c r="J64" s="56" t="str">
        <x:v>Nota adotada após releitura independente cega: 9,2. O relatório identifica artigo, pastas e unidade, e recupera 1.038 × 26. O principal desconto está na validação: is.na() leva o texto a informar instr = 0, exp_adm = 0 e exp_car = 1, embora existam códigos textuais "NA": 95 em instr, 75 em exp_car, além de um ausente real, e 11 ausentes reais em exp_adm; somente exp_adm é explicitamente corrigida. As contagens e proporções são corretas: MAPA 482/524 e MinC 312/354. Os intervalos na tabela estão corretos, mas a narrativa apresenta valores diferentes. O teste 1 (p = 0,05716), as decisões por nível de significância, a construção de alto_nivel, o teste 2 (p = 0,03889) e a razão 0,7071 para o erro-padrão estão corretos. Não aparecem os comandos de carregamento dos pacotes.</x:v>
      </x:c>
    </x:row>
    <x:row r="65" ht="40" customHeight="1">
      <x:c r="A65" s="46" t="str">
        <x:v>Nathan Henrique de Souza Fonseca</x:v>
      </x:c>
      <x:c r="B65" s="48" t="str">
        <x:v>16894387</x:v>
      </x:c>
      <x:c r="C65" s="44" t="str">
        <x:v>nathanhsouzafonseca@usp.br</x:v>
      </x:c>
      <x:c r="D65" s="52" t="n">
        <x:v>0</x:v>
      </x:c>
      <x:c r="E65" s="52" t="n">
        <x:v>0</x:v>
      </x:c>
      <x:c r="F65" s="52" t="n">
        <x:f>AVERAGE(D65:E65)</x:f>
        <x:v>0</x:v>
      </x:c>
      <x:c r="G65" s="52" t="n">
        <x:v>5.9</x:v>
      </x:c>
      <x:c r="H65" s="54" t="str">
        <x:v>Entregue no Moodle</x:v>
      </x:c>
      <x:c r="I65" s="54" t="str">
        <x:v>Moodle</x:v>
      </x:c>
      <x:c r="J65" s="56" t="str">
        <x:v>Nota adotada após releitura independente cega: 5,9. O relatório acerta a pergunta do artigo, a comparação e a unidade como evento de nomeação. Mostra 1.038 × 26, mas não apresenta a lista efetiva de variáveis nem as contagens de ausentes; descreve validação sem exibir resultados e usa limpeza/complete.cases que altera indevidamente as amostras. Em exp_adm, MAPA está correto: 482/524 = 0,9198; MinC aparece como 315/355 = 0,8873, em vez de 312/354 = 0,8814. O teste 1 produz p = 0,1038, fora da faixa aceitável de aproximadamente 0,052–0,074, e deixa de rejeitar a 10%. A recodificação alto_nivel = 1 para níveis 5–6 é correta; MAPA fica próximo do gabarito, mas MinC usa 152/355, em vez de 155/365. O relatório não executa o segundo teste: reutiliza p = 0,1038 de exp_adm para discutir alto_nivel, gerando conclusão errada diante de p ≈ 0,0389. A explicação sobre dobrar n é excelente: o erro-padrão cai por 1/√2, cerca de 29%. Há código, fonte, tabelas e gráficos legíveis, mas a cadeia contém uma inconsistência inferencial grave.</x:v>
      </x:c>
    </x:row>
    <x:row r="66" ht="40" customHeight="1">
      <x:c r="A66" s="46" t="str">
        <x:v>Nicolas Kahli Dourado Maciel</x:v>
      </x:c>
      <x:c r="B66" s="48" t="str">
        <x:v>13721986</x:v>
      </x:c>
      <x:c r="C66" s="44" t="str">
        <x:v>nicolaskahli@usp.br</x:v>
      </x:c>
      <x:c r="D66" s="52" t="n">
        <x:v>0</x:v>
      </x:c>
      <x:c r="E66" s="52" t="n">
        <x:v>0</x:v>
      </x:c>
      <x:c r="F66" s="52" t="n">
        <x:f>AVERAGE(D66:E66)</x:f>
        <x:v>0</x:v>
      </x:c>
      <x:c r="G66" s="52" t="n">
        <x:v>0</x:v>
      </x:c>
      <x:c r="H66" s="54" t="str">
        <x:v>Sem envio localizado</x:v>
      </x:c>
      <x:c r="I66" s="54" t="str">
        <x:v>Sem envio</x:v>
      </x:c>
      <x:c r="J66" s="56" t="str">
        <x:v>Nenhum envio localizado no Moodle nem entre as entregas excepcionais por e-mail.</x:v>
      </x:c>
    </x:row>
    <x:row r="67" ht="40" customHeight="1">
      <x:c r="A67" s="46" t="str">
        <x:v>Otavio Cardoso de Moraes</x:v>
      </x:c>
      <x:c r="B67" s="48" t="str">
        <x:v>14657447</x:v>
      </x:c>
      <x:c r="C67" s="44" t="str">
        <x:v>otaviocardosodemoraes@usp.br</x:v>
      </x:c>
      <x:c r="D67" s="52" t="n">
        <x:v>10</x:v>
      </x:c>
      <x:c r="E67" s="52" t="n">
        <x:v>0</x:v>
      </x:c>
      <x:c r="F67" s="52" t="n">
        <x:f>AVERAGE(D67:E67)</x:f>
        <x:v>5</x:v>
      </x:c>
      <x:c r="G67" s="52" t="n">
        <x:v>9.8</x:v>
      </x:c>
      <x:c r="H67" s="54" t="str">
        <x:v>Entregue no Moodle</x:v>
      </x:c>
      <x:c r="I67" s="54" t="str">
        <x:v>Moodle</x:v>
      </x:c>
      <x:c r="J67" s="56" t="str">
        <x:v>Trabalho completo, correto, claro e reprodutível, com resultados alinhados ao gabarito.</x:v>
      </x:c>
    </x:row>
    <x:row r="68" ht="40" customHeight="1">
      <x:c r="A68" s="46" t="str">
        <x:v>Paula Juliana Rubio Gonzales</x:v>
      </x:c>
      <x:c r="B68" s="48" t="str">
        <x:v>12521185</x:v>
      </x:c>
      <x:c r="C68" s="44" t="str">
        <x:v>paulagonzales@usp.br</x:v>
      </x:c>
      <x:c r="D68" s="52" t="n">
        <x:v>0</x:v>
      </x:c>
      <x:c r="E68" s="52" t="n">
        <x:v>0</x:v>
      </x:c>
      <x:c r="F68" s="52" t="n">
        <x:f>AVERAGE(D68:E68)</x:f>
        <x:v>0</x:v>
      </x:c>
      <x:c r="G68" s="52" t="n">
        <x:v>0</x:v>
      </x:c>
      <x:c r="H68" s="54" t="str">
        <x:v>Sem envio localizado</x:v>
      </x:c>
      <x:c r="I68" s="54" t="str">
        <x:v>Sem envio</x:v>
      </x:c>
      <x:c r="J68" s="56" t="str">
        <x:v>Nenhum envio localizado no Moodle nem entre as entregas excepcionais por e-mail.</x:v>
      </x:c>
    </x:row>
    <x:row r="69" ht="40" customHeight="1">
      <x:c r="A69" s="46" t="str">
        <x:v>Pedro Henrique Abbonizio Franco</x:v>
      </x:c>
      <x:c r="B69" s="48" t="str">
        <x:v>7618206</x:v>
      </x:c>
      <x:c r="C69" s="44" t="str">
        <x:v>pedro.henrique.franco@usp.br</x:v>
      </x:c>
      <x:c r="D69" s="52" t="n">
        <x:v>0</x:v>
      </x:c>
      <x:c r="E69" s="52" t="n">
        <x:v>0</x:v>
      </x:c>
      <x:c r="F69" s="52" t="n">
        <x:f>AVERAGE(D69:E69)</x:f>
        <x:v>0</x:v>
      </x:c>
      <x:c r="G69" s="52" t="n">
        <x:v>0</x:v>
      </x:c>
      <x:c r="H69" s="54" t="str">
        <x:v>Sem envio localizado</x:v>
      </x:c>
      <x:c r="I69" s="54" t="str">
        <x:v>Sem envio</x:v>
      </x:c>
      <x:c r="J69" s="56" t="str">
        <x:v>Nenhum envio localizado no Moodle nem entre as entregas excepcionais por e-mail.</x:v>
      </x:c>
    </x:row>
    <x:row r="70" ht="40" customHeight="1">
      <x:c r="A70" s="46" t="str">
        <x:v>Pedro Henrique Nunes Salgueiro</x:v>
      </x:c>
      <x:c r="B70" s="48" t="str">
        <x:v>11316163</x:v>
      </x:c>
      <x:c r="C70" s="44" t="str">
        <x:v>salgueiro@usp.br</x:v>
      </x:c>
      <x:c r="D70" s="52" t="n">
        <x:v>10</x:v>
      </x:c>
      <x:c r="E70" s="52" t="n">
        <x:v>0</x:v>
      </x:c>
      <x:c r="F70" s="52" t="n">
        <x:f>AVERAGE(D70:E70)</x:f>
        <x:v>5</x:v>
      </x:c>
      <x:c r="G70" s="52" t="n">
        <x:v>0</x:v>
      </x:c>
      <x:c r="H70" s="54" t="str">
        <x:v>Sem envio localizado</x:v>
      </x:c>
      <x:c r="I70" s="54" t="str">
        <x:v>Sem envio</x:v>
      </x:c>
      <x:c r="J70" s="56" t="str">
        <x:v>Nenhum envio localizado no Moodle nem entre as entregas excepcionais por e-mail.</x:v>
      </x:c>
    </x:row>
    <x:row r="71" ht="40" customHeight="1">
      <x:c r="A71" s="46" t="str">
        <x:v>Pedro Henrique Rocha Ribeiro Costa do Amaral</x:v>
      </x:c>
      <x:c r="B71" s="48" t="str">
        <x:v>14602925</x:v>
      </x:c>
      <x:c r="C71" s="44" t="str">
        <x:v>pedrohenriqueamaral@usp.br</x:v>
      </x:c>
      <x:c r="D71" s="52" t="n">
        <x:v>10</x:v>
      </x:c>
      <x:c r="E71" s="52" t="n">
        <x:v>10</x:v>
      </x:c>
      <x:c r="F71" s="52" t="n">
        <x:f>AVERAGE(D71:E71)</x:f>
        <x:v>10</x:v>
      </x:c>
      <x:c r="G71" s="52" t="n">
        <x:v>9.6</x:v>
      </x:c>
      <x:c r="H71" s="54" t="str">
        <x:v>Entregue no Moodle</x:v>
      </x:c>
      <x:c r="I71" s="54" t="str">
        <x:v>Moodle</x:v>
      </x:c>
      <x:c r="J71" s="56" t="str">
        <x:v>Trabalho completo e correto; pequenas diferenças de apresentação/validação.</x:v>
      </x:c>
    </x:row>
    <x:row r="72" ht="40" customHeight="1">
      <x:c r="A72" s="46" t="str">
        <x:v>Pedro Lucas Godoi</x:v>
      </x:c>
      <x:c r="B72" s="48" t="str">
        <x:v>13721516</x:v>
      </x:c>
      <x:c r="C72" s="44" t="str">
        <x:v>plgodoi@usp.br</x:v>
      </x:c>
      <x:c r="D72" s="52" t="n">
        <x:v>10</x:v>
      </x:c>
      <x:c r="E72" s="52" t="n">
        <x:v>10</x:v>
      </x:c>
      <x:c r="F72" s="52" t="n">
        <x:f>AVERAGE(D72:E72)</x:f>
        <x:v>10</x:v>
      </x:c>
      <x:c r="G72" s="52" t="n">
        <x:v>9.7</x:v>
      </x:c>
      <x:c r="H72" s="54" t="str">
        <x:v>Entregue no Moodle</x:v>
      </x:c>
      <x:c r="I72" s="54" t="str">
        <x:v>Moodle</x:v>
      </x:c>
      <x:c r="J72" s="56" t="str">
        <x:v>Trabalho completo, correto e reprodutível, com resultados alinhados ao gabarito.</x:v>
      </x:c>
    </x:row>
    <x:row r="73" ht="40" customHeight="1">
      <x:c r="A73" s="46" t="str">
        <x:v>Pedro Sombra de Souza</x:v>
      </x:c>
      <x:c r="B73" s="48" t="str">
        <x:v>13636719</x:v>
      </x:c>
      <x:c r="C73" s="44" t="str">
        <x:v>psombra@usp.br</x:v>
      </x:c>
      <x:c r="D73" s="52" t="n">
        <x:v>10</x:v>
      </x:c>
      <x:c r="E73" s="52" t="n">
        <x:v>10</x:v>
      </x:c>
      <x:c r="F73" s="52" t="n">
        <x:f>AVERAGE(D73:E73)</x:f>
        <x:v>10</x:v>
      </x:c>
      <x:c r="G73" s="52" t="n">
        <x:v>8.9</x:v>
      </x:c>
      <x:c r="H73" s="54" t="str">
        <x:v>Entregue no Moodle</x:v>
      </x:c>
      <x:c r="I73" s="54" t="str">
        <x:v>Moodle</x:v>
      </x:c>
      <x:c r="J73" s="56" t="str">
        <x:v>Usa correção de continuidade, com p-valores 0,074 e 0,046 e conclusões corretas; pequenas perdas de validação/apresentação.</x:v>
      </x:c>
    </x:row>
    <x:row r="74" ht="40" customHeight="1">
      <x:c r="A74" s="46" t="str">
        <x:v>Rafael Pepe Romano</x:v>
      </x:c>
      <x:c r="B74" s="48" t="str">
        <x:v>12507571</x:v>
      </x:c>
      <x:c r="C74" s="44" t="str">
        <x:v>rafaelpepe@usp.br</x:v>
      </x:c>
      <x:c r="D74" s="52" t="n">
        <x:v>10</x:v>
      </x:c>
      <x:c r="E74" s="52" t="n">
        <x:v>10</x:v>
      </x:c>
      <x:c r="F74" s="52" t="n">
        <x:f>AVERAGE(D74:E74)</x:f>
        <x:v>10</x:v>
      </x:c>
      <x:c r="G74" s="52" t="n">
        <x:v>9.5</x:v>
      </x:c>
      <x:c r="H74" s="54" t="str">
        <x:v>Entregue no Moodle</x:v>
      </x:c>
      <x:c r="I74" s="54" t="str">
        <x:v>Moodle</x:v>
      </x:c>
      <x:c r="J74" s="56" t="str">
        <x:v>Resultados e testes corretos; pequenas perdas de apresentação e organização da entrega.</x:v>
      </x:c>
    </x:row>
    <x:row r="75" ht="40" customHeight="1">
      <x:c r="A75" s="46" t="str">
        <x:v>Sara Pereira da Silva</x:v>
      </x:c>
      <x:c r="B75" s="48" t="str">
        <x:v>11816341</x:v>
      </x:c>
      <x:c r="C75" s="44" t="str">
        <x:v>sara22.pereira@usp.br</x:v>
      </x:c>
      <x:c r="D75" s="52" t="n">
        <x:v>10</x:v>
      </x:c>
      <x:c r="E75" s="52" t="n">
        <x:v>0</x:v>
      </x:c>
      <x:c r="F75" s="52" t="n">
        <x:f>AVERAGE(D75:E75)</x:f>
        <x:v>5</x:v>
      </x:c>
      <x:c r="G75" s="52" t="n">
        <x:v>0</x:v>
      </x:c>
      <x:c r="H75" s="54" t="str">
        <x:v>Sem envio localizado</x:v>
      </x:c>
      <x:c r="I75" s="54" t="str">
        <x:v>Sem envio</x:v>
      </x:c>
      <x:c r="J75" s="56" t="str">
        <x:v>Nenhum envio localizado no Moodle nem entre as entregas excepcionais por e-mail.</x:v>
      </x:c>
    </x:row>
    <x:row r="76" ht="40" customHeight="1">
      <x:c r="A76" s="46" t="str">
        <x:v>Teodoro de Almeida Alkmim Pimenta</x:v>
      </x:c>
      <x:c r="B76" s="48" t="str">
        <x:v>12507630</x:v>
      </x:c>
      <x:c r="C76" s="44" t="str">
        <x:v>teopimenta@usp.br</x:v>
      </x:c>
      <x:c r="D76" s="52" t="n">
        <x:v>0</x:v>
      </x:c>
      <x:c r="E76" s="52" t="n">
        <x:v>10</x:v>
      </x:c>
      <x:c r="F76" s="52" t="n">
        <x:f>AVERAGE(D76:E76)</x:f>
        <x:v>5</x:v>
      </x:c>
      <x:c r="G76" s="52" t="n">
        <x:v>0</x:v>
      </x:c>
      <x:c r="H76" s="54" t="str">
        <x:v>Sem envio localizado</x:v>
      </x:c>
      <x:c r="I76" s="54" t="str">
        <x:v>Sem envio</x:v>
      </x:c>
      <x:c r="J76" s="56" t="str">
        <x:v>Nenhum envio localizado no Moodle nem entre as entregas excepcionais por e-mail.</x:v>
      </x:c>
    </x:row>
    <x:row r="77" ht="40" customHeight="1">
      <x:c r="A77" s="46" t="str">
        <x:v>Thiago Simoni</x:v>
      </x:c>
      <x:c r="B77" s="48" t="str">
        <x:v>13838774</x:v>
      </x:c>
      <x:c r="C77" s="44" t="str">
        <x:v>thiago.simoni@usp.br</x:v>
      </x:c>
      <x:c r="D77" s="52" t="n">
        <x:v>10</x:v>
      </x:c>
      <x:c r="E77" s="52" t="n">
        <x:v>10</x:v>
      </x:c>
      <x:c r="F77" s="52" t="n">
        <x:f>AVERAGE(D77:E77)</x:f>
        <x:v>10</x:v>
      </x:c>
      <x:c r="G77" s="52" t="n">
        <x:v>8.9</x:v>
      </x:c>
      <x:c r="H77" s="54" t="str">
        <x:v>Entregue no Moodle</x:v>
      </x:c>
      <x:c r="I77" s="54" t="str">
        <x:v>Moodle</x:v>
      </x:c>
      <x:c r="J77" s="56" t="str">
        <x:v>Resultados centrais corretos; pequenas inconsistências de denominador/limpeza e explicação.</x:v>
      </x:c>
    </x:row>
    <x:row r="78" ht="40" customHeight="1">
      <x:c r="A78" s="46" t="str">
        <x:v>Veronica Maia Schlickmann Guibu</x:v>
      </x:c>
      <x:c r="B78" s="48" t="str">
        <x:v>14610153</x:v>
      </x:c>
      <x:c r="C78" s="44" t="str">
        <x:v>veronicaguibu@usp.br</x:v>
      </x:c>
      <x:c r="D78" s="52" t="n">
        <x:v>10</x:v>
      </x:c>
      <x:c r="E78" s="52" t="n">
        <x:v>10</x:v>
      </x:c>
      <x:c r="F78" s="52" t="n">
        <x:f>AVERAGE(D78:E78)</x:f>
        <x:v>10</x:v>
      </x:c>
      <x:c r="G78" s="52" t="n">
        <x:v>9.7</x:v>
      </x:c>
      <x:c r="H78" s="54" t="str">
        <x:v>Entregue no Moodle</x:v>
      </x:c>
      <x:c r="I78" s="54" t="str">
        <x:v>Moodle</x:v>
      </x:c>
      <x:c r="J78" s="56" t="str">
        <x:v>Trabalho completo, correto, claro e reprodutível, com resultados alinhados ao gabarito.</x:v>
      </x:c>
    </x:row>
    <x:row r="79" ht="40" customHeight="1">
      <x:c r="A79" s="46" t="str">
        <x:v>Vitor Barbosa Silva</x:v>
      </x:c>
      <x:c r="B79" s="48" t="str">
        <x:v>9825991</x:v>
      </x:c>
      <x:c r="C79" s="44" t="str">
        <x:v>vitor.bsilva@usp.br</x:v>
      </x:c>
      <x:c r="D79" s="52" t="n">
        <x:v>10</x:v>
      </x:c>
      <x:c r="E79" s="52" t="n">
        <x:v>0</x:v>
      </x:c>
      <x:c r="F79" s="52" t="n">
        <x:f>AVERAGE(D79:E79)</x:f>
        <x:v>5</x:v>
      </x:c>
      <x:c r="G79" s="52" t="n">
        <x:v>7.2</x:v>
      </x:c>
      <x:c r="H79" s="54" t="str">
        <x:v>Entregue no Moodle</x:v>
      </x:c>
      <x:c r="I79" s="54" t="str">
        <x:v>Moodle</x:v>
      </x:c>
      <x:c r="J79" s="56" t="str">
        <x:v>Usa denominadores inadequados em exp_adm e obtém p-valor 0,0325 no primeiro teste; segundo teste e efeito amostral estão corretos.</x:v>
      </x:c>
    </x:row>
    <x:row r="80" ht="40" customHeight="1">
      <x:c r="A80" s="46" t="str">
        <x:v>Yasmim Aparecida Silva Almeida</x:v>
      </x:c>
      <x:c r="B80" s="48" t="str">
        <x:v>14612631</x:v>
      </x:c>
      <x:c r="C80" s="44" t="str">
        <x:v>yasmim.aparecida@usp.br</x:v>
      </x:c>
      <x:c r="D80" s="52" t="n">
        <x:v>10</x:v>
      </x:c>
      <x:c r="E80" s="52" t="n">
        <x:v>10</x:v>
      </x:c>
      <x:c r="F80" s="52" t="n">
        <x:f>AVERAGE(D80:E80)</x:f>
        <x:v>10</x:v>
      </x:c>
      <x:c r="G80" s="52" t="n">
        <x:v>7.5</x:v>
      </x:c>
      <x:c r="H80" s="54" t="str">
        <x:v>Entregue no Moodle</x:v>
      </x:c>
      <x:c r="I80" s="54" t="str">
        <x:v>Moodle</x:v>
      </x:c>
      <x:c r="J80" s="56" t="str">
        <x:v>Usa denominadores inadequados no primeiro teste, obtendo 85,5% no MinC e p-valor 0,0028; segundo teste, níveis de significância e efeito amostral estão corretos.</x:v>
      </x:c>
    </x:row>
    <x:row r="81" ht="40" customHeight="1">
      <x:c r="A81" s="46" t="str">
        <x:v>eduardo de oliveira godoy</x:v>
      </x:c>
      <x:c r="B81" s="48" t="str">
        <x:v>14567093</x:v>
      </x:c>
      <x:c r="C81" s="44" t="str">
        <x:v>godoyeduardoo@usp.br</x:v>
      </x:c>
      <x:c r="D81" s="52" t="n">
        <x:v>10</x:v>
      </x:c>
      <x:c r="E81" s="52" t="n">
        <x:v>10</x:v>
      </x:c>
      <x:c r="F81" s="52" t="n">
        <x:f>AVERAGE(D81:E81)</x:f>
        <x:v>10</x:v>
      </x:c>
      <x:c r="G81" s="52" t="n">
        <x:v>9</x:v>
      </x:c>
      <x:c r="H81" s="54" t="str">
        <x:v>Entregue no Moodle</x:v>
      </x:c>
      <x:c r="I81" s="54" t="str">
        <x:v>Moodle</x:v>
      </x:c>
      <x:c r="J81" s="56" t="str">
        <x:v>Resultados e testes centrais corretos; pequenas perdas por tratamento/relato de dados e apresentação.</x:v>
      </x:c>
    </x:row>
  </x:sheetData>
  <x:mergeCells>
    <x:mergeCell ref="A1:J1"/>
    <x:mergeCell ref="A2:J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</x:mergeCells>
  <x:conditionalFormatting sqref="G8:G81">
    <x:cfRule type="colorScale" priority="1">
      <x:colorScale>
        <x:cfvo type="min"/>
        <x:cfvo type="percentile" val="60"/>
        <x:cfvo type="max"/>
        <x:color rgb="FFFCA5A5"/>
        <x:color rgb="FFFEF3C7"/>
        <x:color rgb="FF86EFAC"/>
      </x:colorScale>
    </x:cfRule>
  </x:conditionalFormatting>
  <x:conditionalFormatting sqref="H8:H81">
    <x:cfRule type="containsText" dxfId="0" priority="2" operator="containsText" text="Sem envio"/>
    <x:cfRule type="containsText" dxfId="1" priority="3" operator="containsText" text="Entregue"/>
  </x:conditionalFormatting>
  <x:pageMargins left="0.7" right="0.7" top="0.75" bottom="0.75" header="0.3" footer="0.3"/>
  <x:tableParts count="1">
    <x:tablePart xmlns:r="http://schemas.openxmlformats.org/officeDocument/2006/relationships" r:id="R004765caeae84f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52" hidden="0" customWidth="1"/>
    <x:col min="4" max="4" width="58" hidden="0" customWidth="1"/>
  </x:cols>
  <x:sheetData>
    <x:row r="1" ht="34" customHeight="1">
      <x:c r="A1" s="3" t="str">
        <x:v>Rubrica do trabalho final</x:v>
      </x:c>
      <x:c r="B1" s="3" t="str">
        <x:v>Rubrica do trabalho final</x:v>
      </x:c>
      <x:c r="C1" s="3" t="str">
        <x:v>Rubrica do trabalho final</x:v>
      </x:c>
      <x:c r="D1" s="3" t="str">
        <x:v>Rubrica do trabalho final</x:v>
      </x:c>
    </x:row>
    <x:row r="2" ht="32" customHeight="1">
      <x:c r="A2" s="7" t="str">
        <x:v>Tabela 1. Critérios comuns aplicados a todos os trabalhos; total de 10,0 pontos.</x:v>
      </x:c>
      <x:c r="B2" s="7" t="str">
        <x:v>Tabela 1. Critérios comuns aplicados a todos os trabalhos; total de 10,0 pontos.</x:v>
      </x:c>
      <x:c r="C2" s="7" t="str">
        <x:v>Tabela 1. Critérios comuns aplicados a todos os trabalhos; total de 10,0 pontos.</x:v>
      </x:c>
      <x:c r="D2" s="7" t="str">
        <x:v>Tabela 1. Critérios comuns aplicados a todos os trabalhos; total de 10,0 pontos.</x:v>
      </x:c>
    </x:row>
    <x:row r="4" ht="31" customHeight="1">
      <x:c r="A4" s="37" t="str">
        <x:v>Critério</x:v>
      </x:c>
      <x:c r="B4" s="38" t="str">
        <x:v>Valor máximo</x:v>
      </x:c>
      <x:c r="C4" s="38" t="str">
        <x:v>Crédito integral</x:v>
      </x:c>
      <x:c r="D4" s="39" t="str">
        <x:v>Descontos mais comuns</x:v>
      </x:c>
    </x:row>
    <x:row r="5" ht="52" customHeight="1">
      <x:c r="A5" s="45" t="str">
        <x:v>1. Artigo e unidade de análise</x:v>
      </x:c>
      <x:c r="B5" s="57" t="n">
        <x:v>0.75</x:v>
      </x:c>
      <x:c r="C5" s="55" t="str">
        <x:v>Identifica corretamente artigo, casos e unidade de análise.</x:v>
      </x:c>
      <x:c r="D5" s="55" t="str">
        <x:v>Identificação vaga ou unidade incorreta.</x:v>
      </x:c>
    </x:row>
    <x:row r="6" ht="52" customHeight="1">
      <x:c r="A6" s="46" t="str">
        <x:v>2. Leitura e validação da base</x:v>
      </x:c>
      <x:c r="B6" s="58" t="n">
        <x:v>1.5</x:v>
      </x:c>
      <x:c r="C6" s="56" t="str">
        <x:v>Informa dimensões, variáveis e ausências; trata códigos inválidos.</x:v>
      </x:c>
      <x:c r="D6" s="56" t="str">
        <x:v>Ausências não verificadas ou limpeza inadequada.</x:v>
      </x:c>
    </x:row>
    <x:row r="7" ht="52" customHeight="1">
      <x:c r="A7" s="46" t="str">
        <x:v>3. Descritiva de exp_adm</x:v>
      </x:c>
      <x:c r="B7" s="58" t="n">
        <x:v>1.75</x:v>
      </x:c>
      <x:c r="C7" s="56" t="str">
        <x:v>Calcula n, x, proporção e intervalo de confiança por órgão.</x:v>
      </x:c>
      <x:c r="D7" s="56" t="str">
        <x:v>Denominadores incorretos, mistura com exp_car ou ausência de IC.</x:v>
      </x:c>
    </x:row>
    <x:row r="8" ht="52" customHeight="1">
      <x:c r="A8" s="46" t="str">
        <x:v>4. Teste de proporções 1</x:v>
      </x:c>
      <x:c r="B8" s="58" t="n">
        <x:v>1.5</x:v>
      </x:c>
      <x:c r="C8" s="56" t="str">
        <x:v>Testa a diferença MAPA–MinC em exp_adm e interpreta o p-valor.</x:v>
      </x:c>
      <x:c r="D8" s="56" t="str">
        <x:v>Estimando alterado, p-valor/decisão contraditórios ou teste ausente.</x:v>
      </x:c>
    </x:row>
    <x:row r="9" ht="52" customHeight="1">
      <x:c r="A9" s="46" t="str">
        <x:v>5. alto_nivel e teste 2</x:v>
      </x:c>
      <x:c r="B9" s="58" t="n">
        <x:v>1.75</x:v>
      </x:c>
      <x:c r="C9" s="56" t="str">
        <x:v>Constrói alto_nivel de forma coerente, estima por órgão e testa a diferença.</x:v>
      </x:c>
      <x:c r="D9" s="56" t="str">
        <x:v>Recodificação incorreta ou conclusão incompatível com o teste.</x:v>
      </x:c>
    </x:row>
    <x:row r="10" ht="52" customHeight="1">
      <x:c r="A10" s="46" t="str">
        <x:v>6. Níveis de significância</x:v>
      </x:c>
      <x:c r="B10" s="58" t="n">
        <x:v>0.75</x:v>
      </x:c>
      <x:c r="C10" s="56" t="str">
        <x:v>Distingue corretamente as decisões a 10% e a 1%.</x:v>
      </x:c>
      <x:c r="D10" s="56" t="str">
        <x:v>Confunde limiares ou não relaciona alfa e p-valor.</x:v>
      </x:c>
    </x:row>
    <x:row r="11" ht="52" customHeight="1">
      <x:c r="A11" s="46" t="str">
        <x:v>7. Amostra maior</x:v>
      </x:c>
      <x:c r="B11" s="58" t="n">
        <x:v>0.5</x:v>
      </x:c>
      <x:c r="C11" s="56" t="str">
        <x:v>Explica que dobrar n reduz o erro-padrão por 1/√2.</x:v>
      </x:c>
      <x:c r="D11" s="56" t="str">
        <x:v>Afirma apenas que melhora, sem direção/mecanismo, ou conclui o oposto.</x:v>
      </x:c>
    </x:row>
    <x:row r="12" ht="52" customHeight="1">
      <x:c r="A12" s="46" t="str">
        <x:v>8. Reprodutibilidade e apresentação</x:v>
      </x:c>
      <x:c r="B12" s="58" t="n">
        <x:v>1.5</x:v>
      </x:c>
      <x:c r="C12" s="56" t="str">
        <x:v>Código/dados, resultados legíveis e narrativa coerente.</x:v>
      </x:c>
      <x:c r="D12" s="56" t="str">
        <x:v>Só respostas sem cálculo, base impressa integralmente ou inconsistências graves.</x:v>
      </x:c>
    </x:row>
    <x:row r="13">
      <x:c r="A13" s="61" t="str">
        <x:v>Total</x:v>
      </x:c>
      <x:c r="B13" s="62" t="n">
        <x:f>SUM(B5:B12)</x:f>
        <x:v>10</x:v>
      </x:c>
      <x:c r="C13" s="61"/>
      <x:c r="D13" s="61"/>
    </x:row>
    <x:row r="15" ht="42" customHeight="1">
      <x:c r="A15" s="70" t="str">
        <x:v>Nota metodológica: variantes defensáveis do teste (sem pooling, com correção de continuidade ou aproximação equivalente) receberam crédito quando preservaram o mesmo estimando e produziram a decisão substantiva correta.</x:v>
      </x:c>
      <x:c r="B15" s="71"/>
      <x:c r="C15" s="71"/>
      <x:c r="D15" s="72"/>
    </x:row>
    <x:row r="16" ht="42" customHeight="1">
      <x:c r="A16" s="73" t="str">
        <x:v>Escopo: a nota refere-se exclusivamente ao trabalho final. As notas das listas aparecem na planilha principal apenas como informação auxiliar.</x:v>
      </x:c>
      <x:c r="B16" s="74"/>
      <x:c r="C16" s="74"/>
      <x:c r="D16" s="75"/>
    </x:row>
  </x:sheetData>
  <x:mergeCells>
    <x:mergeCell ref="A1:D1"/>
    <x:mergeCell ref="A2:D2"/>
    <x:mergeCell ref="A15:D15"/>
    <x:mergeCell ref="A16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5" hidden="0" customWidth="1"/>
    <x:col min="3" max="3" width="48" hidden="0" customWidth="1"/>
    <x:col min="4" max="4" width="55" hidden="0" customWidth="1"/>
  </x:cols>
  <x:sheetData>
    <x:row r="1" ht="34" customHeight="1">
      <x:c r="A1" s="3" t="str">
        <x:v>Valores de referência do gabarito</x:v>
      </x:c>
      <x:c r="B1" s="3" t="str">
        <x:v>Valores de referência do gabarito</x:v>
      </x:c>
      <x:c r="C1" s="3" t="str">
        <x:v>Valores de referência do gabarito</x:v>
      </x:c>
      <x:c r="D1" s="3" t="str">
        <x:v>Valores de referência do gabarito</x:v>
      </x:c>
    </x:row>
    <x:row r="2" ht="32" customHeight="1">
      <x:c r="A2" s="7" t="str">
        <x:v>Tabela 2. Âncoras numéricas e decisões usadas na correção; pequenas diferenças podem decorrer de implementações estatísticas defensáveis.</x:v>
      </x:c>
      <x:c r="B2" s="7" t="str">
        <x:v>Tabela 2. Âncoras numéricas e decisões usadas na correção; pequenas diferenças podem decorrer de implementações estatísticas defensáveis.</x:v>
      </x:c>
      <x:c r="C2" s="7" t="str">
        <x:v>Tabela 2. Âncoras numéricas e decisões usadas na correção; pequenas diferenças podem decorrer de implementações estatísticas defensáveis.</x:v>
      </x:c>
      <x:c r="D2" s="7" t="str">
        <x:v>Tabela 2. Âncoras numéricas e decisões usadas na correção; pequenas diferenças podem decorrer de implementações estatísticas defensáveis.</x:v>
      </x:c>
    </x:row>
    <x:row r="4" ht="31" customHeight="1">
      <x:c r="A4" s="37" t="str">
        <x:v>Seção</x:v>
      </x:c>
      <x:c r="B4" s="38" t="str">
        <x:v>Quantidade/comparação</x:v>
      </x:c>
      <x:c r="C4" s="38" t="str">
        <x:v>Valor de referência</x:v>
      </x:c>
      <x:c r="D4" s="39" t="str">
        <x:v>Interpretação esperada</x:v>
      </x:c>
    </x:row>
    <x:row r="5" ht="48" customHeight="1">
      <x:c r="A5" s="45" t="str">
        <x:v>Base</x:v>
      </x:c>
      <x:c r="B5" s="43" t="str">
        <x:v>Dimensão</x:v>
      </x:c>
      <x:c r="C5" s="55" t="str">
        <x:v>1.038 linhas × 26 colunas</x:v>
      </x:c>
      <x:c r="D5" s="55" t="str">
        <x:v>Uma linha por ocupante/cargo observado na base.</x:v>
      </x:c>
    </x:row>
    <x:row r="6" ht="48" customHeight="1">
      <x:c r="A6" s="46" t="str">
        <x:v>Base</x:v>
      </x:c>
      <x:c r="B6" s="44" t="str">
        <x:v>Ausentes</x:v>
      </x:c>
      <x:c r="C6" s="56" t="str">
        <x:v>instr: 95; exp_adm: 11; exp_car: 76; nivel: 0; indicacao: 0; car_pub: 17</x:v>
      </x:c>
      <x:c r="D6" s="56" t="str">
        <x:v>Relatar e tratar ausências antes das proporções.</x:v>
      </x:c>
    </x:row>
    <x:row r="7" ht="48" customHeight="1">
      <x:c r="A7" s="46" t="str">
        <x:v>exp_adm</x:v>
      </x:c>
      <x:c r="B7" s="44" t="str">
        <x:v>MAPA</x:v>
      </x:c>
      <x:c r="C7" s="56" t="str">
        <x:v>n=524; x=482; p=0,91985; IC95%≈[0,892; 0,941]</x:v>
      </x:c>
      <x:c r="D7" s="56" t="str">
        <x:v>Alta proporção de experiência administrativa.</x:v>
      </x:c>
    </x:row>
    <x:row r="8" ht="48" customHeight="1">
      <x:c r="A8" s="46" t="str">
        <x:v>exp_adm</x:v>
      </x:c>
      <x:c r="B8" s="44" t="str">
        <x:v>MinC</x:v>
      </x:c>
      <x:c r="C8" s="56" t="str">
        <x:v>n=354; x=312; p=0,88136; IC95%≈[0,842; 0,912]</x:v>
      </x:c>
      <x:c r="D8" s="56" t="str">
        <x:v>Proporção menor do que no MAPA.</x:v>
      </x:c>
    </x:row>
    <x:row r="9" ht="48" customHeight="1">
      <x:c r="A9" s="46" t="str">
        <x:v>Teste 1</x:v>
      </x:c>
      <x:c r="B9" s="44" t="str">
        <x:v>MinC − MAPA</x:v>
      </x:c>
      <x:c r="C9" s="56" t="str">
        <x:v>dif.≈−0,03849; z≈−1,902; p≈0,05716</x:v>
      </x:c>
      <x:c r="D9" s="56" t="str">
        <x:v>Rejeitar H0 a 10%; não rejeitar a 5% nem a 1%.</x:v>
      </x:c>
    </x:row>
    <x:row r="10" ht="48" customHeight="1">
      <x:c r="A10" s="46" t="str">
        <x:v>alto_nivel</x:v>
      </x:c>
      <x:c r="B10" s="44" t="str">
        <x:v>MAPA</x:v>
      </x:c>
      <x:c r="C10" s="56" t="str">
        <x:v>n=525; x=187; p=0,35619</x:v>
      </x:c>
      <x:c r="D10" s="56" t="str">
        <x:v>Indicador construído conforme a definição pedida.</x:v>
      </x:c>
    </x:row>
    <x:row r="11" ht="48" customHeight="1">
      <x:c r="A11" s="46" t="str">
        <x:v>alto_nivel</x:v>
      </x:c>
      <x:c r="B11" s="44" t="str">
        <x:v>MinC</x:v>
      </x:c>
      <x:c r="C11" s="56" t="str">
        <x:v>n=365; x=155; p=0,42466</x:v>
      </x:c>
      <x:c r="D11" s="56" t="str">
        <x:v>Proporção maior do que no MAPA.</x:v>
      </x:c>
    </x:row>
    <x:row r="12" ht="48" customHeight="1">
      <x:c r="A12" s="46" t="str">
        <x:v>Teste 2</x:v>
      </x:c>
      <x:c r="B12" s="44" t="str">
        <x:v>MinC − MAPA</x:v>
      </x:c>
      <x:c r="C12" s="56" t="str">
        <x:v>dif.≈0,06847; z≈2,065; p≈0,03889</x:v>
      </x:c>
      <x:c r="D12" s="56" t="str">
        <x:v>Rejeitar H0 a 5%; não rejeitar a 1%.</x:v>
      </x:c>
    </x:row>
    <x:row r="13" ht="48" customHeight="1">
      <x:c r="A13" s="46" t="str">
        <x:v>Significância</x:v>
      </x:c>
      <x:c r="B13" s="44" t="str">
        <x:v>α=10%</x:v>
      </x:c>
      <x:c r="C13" s="56" t="str">
        <x:v>Teste 1: rejeitar H0</x:v>
      </x:c>
      <x:c r="D13" s="56" t="str">
        <x:v>Há evidência fraca/moderada de diferença.</x:v>
      </x:c>
    </x:row>
    <x:row r="14" ht="48" customHeight="1">
      <x:c r="A14" s="46" t="str">
        <x:v>Significância</x:v>
      </x:c>
      <x:c r="B14" s="44" t="str">
        <x:v>α=1%</x:v>
      </x:c>
      <x:c r="C14" s="56" t="str">
        <x:v>Testes 1 e 2: não rejeitar H0</x:v>
      </x:c>
      <x:c r="D14" s="56" t="str">
        <x:v>P-valores excedem 0,01.</x:v>
      </x:c>
    </x:row>
    <x:row r="15" ht="48" customHeight="1">
      <x:c r="A15" s="46" t="str">
        <x:v>Amostra</x:v>
      </x:c>
      <x:c r="B15" s="44" t="str">
        <x:v>Dobrar n</x:v>
      </x:c>
      <x:c r="C15" s="56" t="str">
        <x:v>EP novo = EP antigo/√2 ≈ 0,707·EP</x:v>
      </x:c>
      <x:c r="D15" s="56" t="str">
        <x:v>Maior precisão; o erro-padrão cai cerca de 29,3%.</x:v>
      </x:c>
    </x:row>
    <x:row r="16" ht="48" customHeight="1">
      <x:c r="A16" s="46" t="str">
        <x:v>Variantes</x:v>
      </x:c>
      <x:c r="B16" s="44" t="str">
        <x:v>Testes defensáveis</x:v>
      </x:c>
      <x:c r="C16" s="56" t="str">
        <x:v>p do teste 1 ≈ 0,052–0,074; p do teste 2 ≈ 0,039–0,046</x:v>
      </x:c>
      <x:c r="D16" s="56" t="str">
        <x:v>Aceitar quando o estimando e a decisão substantiva são preservados.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58" hidden="0" customWidth="1"/>
    <x:col min="4" max="4" width="49" hidden="0" customWidth="1"/>
  </x:cols>
  <x:sheetData>
    <x:row r="1" ht="34" customHeight="1">
      <x:c r="A1" s="3" t="str">
        <x:v>Proveniência e validações</x:v>
      </x:c>
      <x:c r="B1" s="3" t="str">
        <x:v>Proveniência e validações</x:v>
      </x:c>
      <x:c r="C1" s="3" t="str">
        <x:v>Proveniência e validações</x:v>
      </x:c>
      <x:c r="D1" s="3" t="str">
        <x:v>Proveniência e validações</x:v>
      </x:c>
    </x:row>
    <x:row r="2" ht="32" customHeight="1">
      <x:c r="A2" s="7" t="str">
        <x:v>Tabela 3. Fontes, cobertura e controles de integridade usados para produzir as notas em 21/08/2026.</x:v>
      </x:c>
      <x:c r="B2" s="7" t="str">
        <x:v>Tabela 3. Fontes, cobertura e controles de integridade usados para produzir as notas em 21/08/2026.</x:v>
      </x:c>
      <x:c r="C2" s="7" t="str">
        <x:v>Tabela 3. Fontes, cobertura e controles de integridade usados para produzir as notas em 21/08/2026.</x:v>
      </x:c>
      <x:c r="D2" s="7" t="str">
        <x:v>Tabela 3. Fontes, cobertura e controles de integridade usados para produzir as notas em 21/08/2026.</x:v>
      </x:c>
    </x:row>
    <x:row r="4" ht="31" customHeight="1">
      <x:c r="A4" s="37" t="str">
        <x:v>Item</x:v>
      </x:c>
      <x:c r="B4" s="38" t="str">
        <x:v>Fonte ou artefato</x:v>
      </x:c>
      <x:c r="C4" s="38" t="str">
        <x:v>Verificação</x:v>
      </x:c>
      <x:c r="D4" s="39" t="str">
        <x:v>Data ou SHA-256</x:v>
      </x:c>
    </x:row>
    <x:row r="5" ht="65" customHeight="1">
      <x:c r="A5" s="45" t="str">
        <x:v>Atividade Moodle</x:v>
      </x:c>
      <x:c r="B5" s="55" t="str">
        <x:v>https://edisciplinas.usp.br/mod/assign/view.php?id=6364861&amp;action=grading</x:v>
      </x:c>
      <x:c r="C5" s="55" t="str">
        <x:v>FLP0406 — Trabalho Final; 74 participantes.</x:v>
      </x:c>
      <x:c r="D5" s="55" t="str">
        <x:v>Acesso: 2026-08-21</x:v>
      </x:c>
    </x:row>
    <x:row r="6" ht="65" customHeight="1">
      <x:c r="A6" s="46" t="str">
        <x:v>Planilha da monitoria</x:v>
      </x:c>
      <x:c r="B6" s="56" t="str">
        <x:v>/Users/manoelgaldino/Documents/DCP/Cursos/stat_basica/trabalhos_graduacao_metodos_III_2026/planilha_monitoria/Notas MTPCP.xlsx</x:v>
      </x:c>
      <x:c r="C6" s="56" t="str">
        <x:v>74 NUSPs únicos; Lista 1 e Lista 2 conciliadas com a turma.</x:v>
      </x:c>
      <x:c r="D6" s="56" t="str">
        <x:v>165f0741843c4a13121f72777859d9a9b48a99e87ae2d298f8fc9af245e3f0f6</x:v>
      </x:c>
    </x:row>
    <x:row r="7" ht="65" customHeight="1">
      <x:c r="A7" s="46" t="str">
        <x:v>Inventário Moodle</x:v>
      </x:c>
      <x:c r="B7" s="56" t="str">
        <x:v>/Users/manoelgaldino/Documents/DCP/Papers/metodos_CP/tmp/grading_work/moodle_roster_and_submissions.json</x:v>
      </x:c>
      <x:c r="C7" s="56" t="str">
        <x:v>56 envios no Moodle e 18 sem envio no Moodle.</x:v>
      </x:c>
      <x:c r="D7" s="56" t="str">
        <x:v>aa200453c3401d2dfbf47d7a19cb4e54227db73b0b0f03eb7846600e07ee5617</x:v>
      </x:c>
    </x:row>
    <x:row r="8" ht="65" customHeight="1">
      <x:c r="A8" s="46" t="str">
        <x:v>Exceção por e-mail</x:v>
      </x:c>
      <x:c r="B8" s="56" t="str">
        <x:v>/Users/manoelgaldino/Documents/DCP/Cursos/stat_basica/trabalhos_graduacao_metodos_III_2026/entregas_email/Carmen Maria Serrano dos Santos/avaliacao_Carmen_Maria_Serrano_dos_Santos.pdf</x:v>
      </x:c>
      <x:c r="C8" s="56" t="str">
        <x:v>1 entrega válida por e-mail; total final de 57 trabalhos.</x:v>
      </x:c>
      <x:c r="D8" s="56" t="str">
        <x:v>646f0a938cc97f3a86ff81aba012802f00248216af93cb4bef01fee1d84d2721</x:v>
      </x:c>
    </x:row>
    <x:row r="9" ht="65" customHeight="1">
      <x:c r="A9" s="46" t="str">
        <x:v>Base consolidada de notas</x:v>
      </x:c>
      <x:c r="B9" s="56" t="str">
        <x:v>/Users/manoelgaldino/Documents/DCP/Papers/metodos_CP/tmp/grading_work/final_grade_records.csv</x:v>
      </x:c>
      <x:c r="C9" s="56" t="str">
        <x:v>74 linhas; 57 entregas; 17 sem entrega; notas dentro de 0–10.</x:v>
      </x:c>
      <x:c r="D9" s="56" t="str">
        <x:v>c084d2905a34218aa60278c21ee6f62b1a3c64d84ff7052f70074e3a13515b2b</x:v>
      </x:c>
    </x:row>
    <x:row r="10" ht="65" customHeight="1">
      <x:c r="A10" s="46" t="str">
        <x:v>Loop independente</x:v>
      </x:c>
      <x:c r="B10" s="56" t="str">
        <x:v>/Users/manoelgaldino/Documents/DCP/Papers/metodos_CP/tmp/grading_work/independent_review_results.csv</x:v>
      </x:c>
      <x:c r="C10" s="56" t="str">
        <x:v>14 releituras cegas; notas do loop adotadas nos casos selecionados.</x:v>
      </x:c>
      <x:c r="D10" s="56" t="str">
        <x:v>Resultados brutos preservados</x:v>
      </x:c>
    </x:row>
    <x:row r="11" ht="65" customHeight="1">
      <x:c r="A11" s="46" t="str">
        <x:v>Ajuste docente</x:v>
      </x:c>
      <x:c r="B11" s="56" t="str">
        <x:v>Mariana Araujo Püschel — NUSP 4725594</x:v>
      </x:c>
      <x:c r="C11" s="56" t="str">
        <x:v>Nota do loop: 4,2; nota final adotada: 5,0 por decisão do docente.</x:v>
      </x:c>
      <x:c r="D11" s="56" t="str">
        <x:v>2026-08-21</x:v>
      </x:c>
    </x:row>
    <x:row r="12" ht="65" customHeight="1">
      <x:c r="A12" s="46" t="str">
        <x:v>OCR das submissões</x:v>
      </x:c>
      <x:c r="B12" s="56" t="str">
        <x:v>/Users/manoelgaldino/Documents/DCP/Papers/metodos_CP/tmp/grading_work/moodle_ocr/manifest.json</x:v>
      </x:c>
      <x:c r="C12" s="56" t="str">
        <x:v>1.818 capturas processadas; 56 estudantes; 0 falhas de OCR.</x:v>
      </x:c>
      <x:c r="D12" s="56" t="str">
        <x:v>0d2f582d0d530d2df8d573009d5e93a549e260ccd551a016e4b90d78e5842379</x:v>
      </x:c>
    </x:row>
    <x:row r="13" ht="65" customHeight="1">
      <x:c r="A13" s="46" t="str">
        <x:v>Enunciado</x:v>
      </x:c>
      <x:c r="B13" s="56" t="str">
        <x:v>/Users/manoelgaldino/Documents/DCP/Cursos/stat_basica/book-stat-basica/avaliacao_aulas_06_09_inferencia_basica.Rmd</x:v>
      </x:c>
      <x:c r="C13" s="56" t="str">
        <x:v>Instruções exatas do trabalho final recuperadas no repositório da disciplina.</x:v>
      </x:c>
      <x:c r="D13" s="56" t="str">
        <x:v>838c72cc19a6e6beef81954e5109291d285fd570c2cbeb5e211720520836f616</x:v>
      </x:c>
    </x:row>
    <x:row r="14" ht="65" customHeight="1">
      <x:c r="A14" s="46" t="str">
        <x:v>Gabarito</x:v>
      </x:c>
      <x:c r="B14" s="56" t="str">
        <x:v>/Users/manoelgaldino/Documents/DCP/Cursos/stat_basica/book-stat-basica/avaliacao_aulas_06_09_gabarito.Rmd</x:v>
      </x:c>
      <x:c r="C14" s="56" t="str">
        <x:v>Âncoras substantivas e decisões estatísticas usadas na rubrica.</x:v>
      </x:c>
      <x:c r="D14" s="56" t="str">
        <x:v>a02f205062dcc2684456209232785b37a243c91959cc25b1a1f018bc37177b81</x:v>
      </x:c>
    </x:row>
    <x:row r="15" ht="65" customHeight="1">
      <x:c r="A15" s="46" t="str">
        <x:v>Cálculos do gabarito</x:v>
      </x:c>
      <x:c r="B15" s="56" t="str">
        <x:v>/Users/manoelgaldino/Documents/DCP/Cursos/stat_basica/book-stat-basica/scripts/avaliacao_aulas_06_09_gabarito_calculos.R</x:v>
      </x:c>
      <x:c r="C15" s="56" t="str">
        <x:v>Script reprodutível dos valores de referência.</x:v>
      </x:c>
      <x:c r="D15" s="56" t="str">
        <x:v>a9f3ff20c646087ae38c62594c5c16600ed22995d93005825c0eea41f39fb9db</x:v>
      </x:c>
    </x:row>
    <x:row r="16" ht="65" customHeight="1">
      <x:c r="A16" s="46" t="str">
        <x:v>Estado externo</x:v>
      </x:c>
      <x:c r="B16" s="56" t="str">
        <x:v>Moodle</x:v>
      </x:c>
      <x:c r="C16" s="56" t="str">
        <x:v>Nenhuma nota ou devolutiva foi lançada; acesso apenas para leitura/coleta.</x:v>
      </x:c>
      <x:c r="D16" s="56" t="str">
        <x:v>2026-08-21</x:v>
      </x:c>
    </x:row>
    <x:row r="17" ht="65" customHeight="1">
      <x:c r="A17" s="46" t="str">
        <x:v>Escopo da nota</x:v>
      </x:c>
      <x:c r="B17" s="56" t="str">
        <x:v>Trabalho final</x:v>
      </x:c>
      <x:c r="C17" s="56" t="str">
        <x:v>A planilha não calcula média final da disciplina; notas de listas são auxiliares.</x:v>
      </x:c>
      <x:c r="D17" s="56" t="str">
        <x:v>Escala 0–10</x:v>
      </x:c>
    </x:row>
    <x:row r="18" ht="65" customHeight="1">
      <x:c r="A18" s="46" t="str">
        <x:v>Caso de leitura longa</x:v>
      </x:c>
      <x:c r="B18" s="56" t="str">
        <x:v>Agnes Francisca Carraro Kunsch — NUSP 14554690</x:v>
      </x:c>
      <x:c r="C18" s="56" t="str">
        <x:v>PDF de 206 páginas: capa/análise e páginas finais foram verificadas; miolo era impressão da base.</x:v>
      </x:c>
      <x:c r="D18" s="56" t="str">
        <x:v>Amostra: p. 1 e 197–206</x:v>
      </x:c>
    </x:row>
  </x:sheetData>
  <x:mergeCells>
    <x:mergeCell ref="A1:D1"/>
    <x:mergeCell ref="A2:D2"/>
  </x:mergeCells>
  <x:pageMargins left="0.7" right="0.7" top="0.75" bottom="0.75" header="0.3" footer="0.3"/>
</x:worksheet>
</file>